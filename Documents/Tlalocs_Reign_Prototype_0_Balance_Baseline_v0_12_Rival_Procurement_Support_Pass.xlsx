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239757cd248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ff7dd29d93b40b1"/>
    <x:sheet xmlns:r="http://schemas.openxmlformats.org/officeDocument/2006/relationships" name="Status Upkeep" sheetId="2" r:id="R8e33b4df2cfa4350"/>
    <x:sheet xmlns:r="http://schemas.openxmlformats.org/officeDocument/2006/relationships" name="Village Buildings" sheetId="3" r:id="Rf12df73600374913"/>
    <x:sheet xmlns:r="http://schemas.openxmlformats.org/officeDocument/2006/relationships" name="Starter Estate Tools" sheetId="4" r:id="R3d2f1af03ee94612"/>
    <x:sheet xmlns:r="http://schemas.openxmlformats.org/officeDocument/2006/relationships" name="Construction Demand" sheetId="5" r:id="R84a4023a8e4b4ab6"/>
    <x:sheet xmlns:r="http://schemas.openxmlformats.org/officeDocument/2006/relationships" name="Market Balance" sheetId="6" r:id="Rfb4620b03518473f"/>
    <x:sheet xmlns:r="http://schemas.openxmlformats.org/officeDocument/2006/relationships" name="Notes" sheetId="7" r:id="R5c5b9ec7df374e7a"/>
    <x:sheet xmlns:r="http://schemas.openxmlformats.org/officeDocument/2006/relationships" name="Family Comparison" sheetId="8" r:id="R0548f48d45284953"/>
    <x:sheet xmlns:r="http://schemas.openxmlformats.org/officeDocument/2006/relationships" name="Base Values" sheetId="9" r:id="R26a74e243f03472a"/>
    <x:sheet xmlns:r="http://schemas.openxmlformats.org/officeDocument/2006/relationships" name="Player Expansion Test" sheetId="10" r:id="Ra9a335c150c646ad"/>
    <x:sheet xmlns:r="http://schemas.openxmlformats.org/officeDocument/2006/relationships" name="Strategy Summary" sheetId="11" r:id="Rf4acffd4e4f04501"/>
    <x:sheet xmlns:r="http://schemas.openxmlformats.org/officeDocument/2006/relationships" name="Rival Build Orders" sheetId="12" r:id="R7f163883812f4f8d"/>
    <x:sheet xmlns:r="http://schemas.openxmlformats.org/officeDocument/2006/relationships" name="Rival Build Orders v12" sheetId="13" r:id="R96ce3578923b44e2"/>
    <x:sheet xmlns:r="http://schemas.openxmlformats.org/officeDocument/2006/relationships" name="Rival Summary v12" sheetId="14" r:id="Rabedee92643346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2">
    <x:font>
      <x:sz val="11"/>
      <x:name val="Carlito"/>
    </x:font>
    <x:font>
      <x:b/>
      <x:sz val="16"/>
      <x:color rgb="1F4E46"/>
      <x:name val="Carlito"/>
    </x:font>
    <x:font>
      <x:b/>
      <x:sz val="11"/>
      <x:color rgb="FFFFFF"/>
      <x:name val="Carlito"/>
    </x:font>
    <x:font>
      <x:b/>
      <x:sz val="11"/>
      <x:color rgb="1F4E46"/>
      <x:name val="Carlito"/>
    </x:font>
    <x:font>
      <x:b/>
      <x:sz val="16"/>
      <x:color rgb="FFFFFF"/>
      <x:name val="Carlito"/>
    </x:font>
    <x:font>
      <x:i/>
      <x:sz val="10"/>
      <x:color rgb="1F2937"/>
      <x:name val="Carlito"/>
    </x:font>
    <x:font>
      <x:b/>
      <x:sz val="11"/>
      <x:color rgb="0F4C3A"/>
      <x:name val="Carlito"/>
    </x:font>
    <x:font>
      <x:b/>
      <x:sz val="14"/>
      <x:color rgb="FFFFFF"/>
      <x:name val="Carlito"/>
    </x:font>
    <x:font>
      <x:i/>
      <x:sz val="11"/>
      <x:color rgb="1F4E78"/>
      <x:name val="Carlito"/>
    </x:font>
    <x:font>
      <x:b/>
      <x:sz val="11"/>
      <x:name val="Carlito"/>
    </x:font>
    <x:font>
      <x:b/>
      <x:sz val="12"/>
      <x:color rgb="FFFFFF"/>
      <x:name val="Carlito"/>
    </x:font>
    <x:font>
      <x:b/>
      <x:sz val="13"/>
      <x:color rgb="FFFFFF"/>
      <x:name val="Carlito"/>
    </x:font>
  </x:fonts>
  <x:fills count="27">
    <x:fill>
      <x:patternFill patternType="none"/>
    </x:fill>
    <x:fill>
      <x:patternFill patternType="gray125"/>
    </x:fill>
    <x:fill>
      <x:patternFill patternType="solid">
        <x:fgColor rgb="1F4E46"/>
      </x:patternFill>
    </x:fill>
    <x:fill>
      <x:patternFill patternType="solid">
        <x:fgColor rgb="D9EAD3"/>
      </x:patternFill>
    </x:fill>
    <x:fill>
      <x:patternFill patternType="solid">
        <x:fgColor rgb="FFF2CC"/>
      </x:patternFill>
    </x:fill>
    <x:fill>
      <x:patternFill patternType="solid">
        <x:fgColor rgb="0F4C3A"/>
      </x:patternFill>
    </x:fill>
    <x:fill>
      <x:patternFill patternType="solid">
        <x:fgColor rgb="DDEFE6"/>
      </x:patternFill>
    </x:fill>
    <x:fill>
      <x:patternFill patternType="solid">
        <x:fgColor rgb="D9EAD3"/>
      </x:patternFill>
    </x:fill>
    <x:fill>
      <x:patternFill patternType="solid">
        <x:fgColor rgb="5B3A1E"/>
      </x:patternFill>
    </x:fill>
    <x:fill>
      <x:patternFill patternType="solid">
        <x:fgColor rgb="EADCC6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9EADCC"/>
      </x:patternFill>
    </x:fill>
    <x:fill>
      <x:patternFill patternType="solid">
        <x:fgColor rgb="4C1D95"/>
      </x:patternFill>
    </x:fill>
    <x:fill>
      <x:patternFill patternType="solid">
        <x:fgColor rgb="6D28D9"/>
      </x:patternFill>
    </x:fill>
    <x:fill>
      <x:patternFill patternType="solid">
        <x:fgColor rgb="0F766E"/>
      </x:patternFill>
    </x:fill>
    <x:fill>
      <x:patternFill patternType="solid">
        <x:fgColor rgb="ECFDF5"/>
      </x:patternFill>
    </x:fill>
    <x:fill>
      <x:patternFill patternType="solid">
        <x:fgColor rgb="1F2937"/>
      </x:patternFill>
    </x:fill>
    <x:fill>
      <x:patternFill patternType="solid">
        <x:fgColor rgb="FEE2E2"/>
      </x:patternFill>
    </x:fill>
    <x:fill>
      <x:patternFill patternType="solid">
        <x:fgColor rgb="F3E8FF"/>
      </x:patternFill>
    </x:fill>
    <x:fill>
      <x:patternFill patternType="solid">
        <x:fgColor rgb="DBEAFE"/>
      </x:patternFill>
    </x:fill>
    <x:fill>
      <x:patternFill patternType="solid">
        <x:fgColor rgb="FEF3C7"/>
      </x:patternFill>
    </x:fill>
    <x:fill>
      <x:patternFill patternType="solid">
        <x:fgColor rgb="F9FAFB"/>
      </x:patternFill>
    </x:fill>
    <x:fill>
      <x:patternFill patternType="solid">
        <x:fgColor rgb="0F172A"/>
      </x:patternFill>
    </x:fill>
    <x:fill>
      <x:patternFill patternType="solid">
        <x:fgColor rgb="1F4E79"/>
      </x:patternFill>
    </x:fill>
    <x:fill>
      <x:patternFill patternType="solid">
        <x:fgColor rgb="0F172A"/>
      </x:patternFill>
    </x:fill>
    <x:fill>
      <x:patternFill patternType="solid">
        <x:fgColor rgb="1F4E79"/>
      </x:patternFill>
    </x:fill>
  </x:fills>
  <x:borders count="11">
    <x:border/>
    <x:border/>
    <x:border>
      <x:right>
        <x:color rgb="D1D5DB"/>
      </x:right>
      <x:bottom>
        <x:color rgb="D1D5DB"/>
      </x:bottom>
    </x:border>
    <x:border>
      <x:left>
        <x:color rgb="D1D5DB"/>
      </x:left>
      <x:bottom>
        <x:color rgb="D1D5DB"/>
      </x:bottom>
    </x:border>
    <x:border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top>
        <x:color rgb="D1D5DB"/>
      </x:top>
      <x:bottom>
        <x:color rgb="D1D5DB"/>
      </x:bottom>
    </x:border>
    <x:border>
      <x:right>
        <x:color rgb="D1D5DB"/>
      </x:right>
      <x:top>
        <x:color rgb="D1D5DB"/>
      </x:top>
    </x:border>
    <x:border>
      <x:left>
        <x:color rgb="D1D5DB"/>
      </x:left>
      <x:top>
        <x:color rgb="D1D5DB"/>
      </x:top>
    </x:border>
    <x:border>
      <x:left>
        <x:color rgb="D1D5DB"/>
      </x:left>
      <x:right>
        <x:color rgb="D1D5DB"/>
      </x:right>
      <x:bottom>
        <x:color rgb="D1D5DB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D1D5DB"/>
      </x:right>
      <x:top>
        <x:color rgb="D1D5DB"/>
      </x:top>
    </x:border>
  </x:borders>
  <x:cellStyleXfs count="1">
    <x:xf numFmtId="0" fontId="0" fillId="0" borderId="0"/>
  </x:cellStyleXfs>
  <x:cellXfs count="15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 wrapText="1"/>
    </x:xf>
    <x:xf numFmtId="0" fontId="5" fillId="6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left" vertical="center" wrapText="1"/>
    </x:xf>
    <x:xf numFmtId="0" fontId="5" fillId="6" borderId="0" xfId="0" applyNumberFormat="1" applyFont="1" applyFill="1" applyBorder="1" applyAlignment="1">
      <x:alignment horizontal="left" vertical="center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horizontal="left" vertical="center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7" fillId="13" borderId="0" xfId="0" applyNumberFormat="1" applyFont="1" applyFill="1" applyBorder="1"/>
    <x:xf numFmtId="0" fontId="2" fillId="14" borderId="0" xfId="0" applyNumberFormat="1" applyFont="1" applyFill="1" applyBorder="1"/>
    <x:xf numFmtId="0" fontId="0" fillId="14" borderId="0" xfId="0" applyNumberFormat="1" applyFont="1" applyFill="1" applyBorder="1"/>
    <x:xf numFmtId="0" fontId="0" fillId="13" borderId="0" xfId="0" applyNumberFormat="1" applyFont="1" applyFill="1" applyBorder="1"/>
    <x:xf numFmtId="0" fontId="1" fillId="13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7" fillId="13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4" fillId="15" borderId="0" xfId="0" applyNumberFormat="1" applyFont="1" applyFill="1" applyBorder="1"/>
    <x:xf numFmtId="0" fontId="4" fillId="15" borderId="0" xfId="0" applyNumberFormat="1" applyFont="1" applyFill="1" applyBorder="1" applyAlignment="1">
      <x:alignment horizontal="center"/>
    </x:xf>
    <x:xf numFmtId="0" fontId="4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9" fillId="16" borderId="0" xfId="0" applyNumberFormat="1" applyFont="1" applyFill="1" applyBorder="1"/>
    <x:xf numFmtId="0" fontId="9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0" fillId="18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0" fillId="19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/>
    <x:xf numFmtId="0" fontId="0" fillId="20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 applyAlignment="1">
      <x:alignment vertical="top" wrapText="1"/>
    </x:xf>
    <x:xf numFmtId="0" fontId="2" fillId="17" borderId="0" xfId="0" applyNumberFormat="1" applyFont="1" applyFill="1" applyBorder="1" applyAlignment="1">
      <x:alignment wrapText="1"/>
    </x:xf>
    <x:xf numFmtId="0" fontId="2" fillId="17" borderId="2" xfId="0" applyNumberFormat="1" applyFont="1" applyFill="1" applyBorder="1" applyAlignment="1">
      <x:alignment wrapText="1"/>
    </x:xf>
    <x:xf numFmtId="0" fontId="2" fillId="17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2" fillId="15" borderId="2" xfId="0" applyNumberFormat="1" applyFont="1" applyFill="1" applyBorder="1" applyAlignment="1">
      <x:alignment wrapText="1"/>
    </x:xf>
    <x:xf numFmtId="0" fontId="2" fillId="15" borderId="8" xfId="0" applyNumberFormat="1" applyFont="1" applyFill="1" applyBorder="1" applyAlignment="1">
      <x:alignment wrapText="1"/>
    </x:xf>
    <x:xf numFmtId="0" fontId="2" fillId="15" borderId="3" xfId="0" applyNumberFormat="1" applyFont="1" applyFill="1" applyBorder="1" applyAlignment="1">
      <x:alignment wrapText="1"/>
    </x:xf>
    <x:xf numFmtId="0" fontId="0" fillId="18" borderId="4" xfId="0" applyNumberFormat="1" applyFont="1" applyFill="1" applyBorder="1" applyAlignment="1">
      <x:alignment vertical="top" wrapText="1"/>
    </x:xf>
    <x:xf numFmtId="0" fontId="0" fillId="18" borderId="9" xfId="0" applyNumberFormat="1" applyFont="1" applyFill="1" applyBorder="1" applyAlignment="1">
      <x:alignment vertical="top" wrapText="1"/>
    </x:xf>
    <x:xf numFmtId="0" fontId="0" fillId="18" borderId="5" xfId="0" applyNumberFormat="1" applyFont="1" applyFill="1" applyBorder="1" applyAlignment="1">
      <x:alignment vertical="top" wrapText="1"/>
    </x:xf>
    <x:xf numFmtId="0" fontId="0" fillId="19" borderId="4" xfId="0" applyNumberFormat="1" applyFont="1" applyFill="1" applyBorder="1" applyAlignment="1">
      <x:alignment vertical="top" wrapText="1"/>
    </x:xf>
    <x:xf numFmtId="0" fontId="0" fillId="19" borderId="9" xfId="0" applyNumberFormat="1" applyFont="1" applyFill="1" applyBorder="1" applyAlignment="1">
      <x:alignment vertical="top" wrapText="1"/>
    </x:xf>
    <x:xf numFmtId="0" fontId="0" fillId="19" borderId="5" xfId="0" applyNumberFormat="1" applyFont="1" applyFill="1" applyBorder="1" applyAlignment="1">
      <x:alignment vertical="top" wrapText="1"/>
    </x:xf>
    <x:xf numFmtId="0" fontId="0" fillId="20" borderId="4" xfId="0" applyNumberFormat="1" applyFont="1" applyFill="1" applyBorder="1" applyAlignment="1">
      <x:alignment vertical="top" wrapText="1"/>
    </x:xf>
    <x:xf numFmtId="0" fontId="0" fillId="20" borderId="9" xfId="0" applyNumberFormat="1" applyFont="1" applyFill="1" applyBorder="1" applyAlignment="1">
      <x:alignment vertical="top" wrapText="1"/>
    </x:xf>
    <x:xf numFmtId="0" fontId="0" fillId="20" borderId="5" xfId="0" applyNumberFormat="1" applyFont="1" applyFill="1" applyBorder="1" applyAlignment="1">
      <x:alignment vertical="top" wrapText="1"/>
    </x:xf>
    <x:xf numFmtId="0" fontId="0" fillId="20" borderId="6" xfId="0" applyNumberFormat="1" applyFont="1" applyFill="1" applyBorder="1" applyAlignment="1">
      <x:alignment vertical="top" wrapText="1"/>
    </x:xf>
    <x:xf numFmtId="0" fontId="0" fillId="20" borderId="10" xfId="0" applyNumberFormat="1" applyFont="1" applyFill="1" applyBorder="1" applyAlignment="1">
      <x:alignment vertical="top" wrapText="1"/>
    </x:xf>
    <x:xf numFmtId="0" fontId="0" fillId="20" borderId="7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 applyAlignment="1">
      <x:alignment wrapText="1"/>
    </x:xf>
    <x:xf numFmtId="0" fontId="9" fillId="21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wrapText="1"/>
    </x:xf>
    <x:xf numFmtId="0" fontId="10" fillId="15" borderId="0" xfId="0" applyNumberFormat="1" applyFont="1" applyFill="1" applyBorder="1" applyAlignment="1">
      <x:alignment wrapText="1"/>
    </x:xf>
    <x:xf numFmtId="0" fontId="10" fillId="15" borderId="0" xfId="0" applyNumberFormat="1" applyFont="1" applyFill="1" applyBorder="1" applyAlignment="1">
      <x:alignment horizontal="center" wrapText="1"/>
    </x:xf>
    <x:xf numFmtId="0" fontId="0" fillId="22" borderId="0" xfId="0" applyNumberFormat="1" applyFont="1" applyFill="1" applyBorder="1" applyAlignment="1">
      <x:alignment wrapText="1"/>
    </x:xf>
    <x:xf numFmtId="0" fontId="9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11" fillId="23" borderId="0" xfId="0" applyNumberFormat="1" applyFont="1" applyFill="1" applyBorder="1"/>
    <x:xf numFmtId="0" fontId="0" fillId="24" borderId="0" xfId="0" applyNumberFormat="1" applyFont="1" applyFill="1" applyBorder="1"/>
    <x:xf numFmtId="0" fontId="2" fillId="24" borderId="0" xfId="0" applyNumberFormat="1" applyFont="1" applyFill="1" applyBorder="1"/>
    <x:xf numFmtId="0" fontId="11" fillId="23" borderId="0" xfId="0" applyNumberFormat="1" applyFont="1" applyFill="1" applyBorder="1" applyAlignment="1">
      <x:alignment wrapText="1"/>
    </x:xf>
    <x:xf numFmtId="0" fontId="2" fillId="24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11" fillId="25" borderId="0" xfId="0" applyNumberFormat="1" applyFont="1" applyFill="1" applyBorder="1"/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11" fillId="25" borderId="0" xfId="0" applyNumberFormat="1" applyFont="1" applyFill="1" applyBorder="1" applyAlignment="1">
      <x:alignment wrapText="1"/>
    </x:xf>
    <x:xf numFmtId="0" fontId="2" fillId="26" borderId="0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color rgb="B91C1C"/>
      </x:font>
    </x:dxf>
    <x:dxf>
      <x:font>
        <x:color rgb="166534"/>
      </x:font>
    </x:dxf>
    <x:dxf>
      <x:font>
        <x:color rgb="B91C1C"/>
      </x:font>
    </x:dxf>
    <x:dxf>
      <x:font>
        <x:color rgb="166534"/>
      </x:font>
    </x:dxf>
    <x:dxf>
      <x:fill>
        <x:patternFill>
          <x:bgColor rgb="FCA5A5"/>
        </x:patternFill>
      </x:fill>
    </x:dxf>
    <x:dxf>
      <x:fill>
        <x:patternFill>
          <x:bgColor rgb="FECACA"/>
        </x:patternFill>
      </x:fill>
    </x:dxf>
    <x:dxf>
      <x:fill>
        <x:patternFill>
          <x:bgColor rgb="FEF3C7"/>
        </x:patternFill>
      </x:fill>
    </x:dxf>
    <x:dxf>
      <x:fill>
        <x:patternFill>
          <x:bgColor rgb="DCFCE7"/>
        </x:patternFill>
      </x:fill>
    </x:dxf>
    <x:dxf>
      <x:fill>
        <x:patternFill>
          <x:bgColor rgb="DCFCE7"/>
        </x:patternFill>
      </x:fill>
    </x:dxf>
    <x:dxf>
      <x:fill>
        <x:patternFill>
          <x:bgColor rgb="FECACA"/>
        </x:patternFill>
      </x:fill>
    </x:dxf>
    <x:dxf>
      <x:fill>
        <x:patternFill>
          <x:bgColor rgb="DCFCE7"/>
        </x:patternFill>
      </x:fill>
    </x:dxf>
    <x:dxf>
      <x:fill>
        <x:patternFill>
          <x:bgColor rgb="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1a229c69c748d3" /><Relationship Type="http://schemas.openxmlformats.org/officeDocument/2006/relationships/theme" Target="/xl/theme/theme1.xml" Id="R59a9c6f260a14fd4" /><Relationship Type="http://schemas.openxmlformats.org/officeDocument/2006/relationships/sharedStrings" Target="/xl/sharedStrings.xml" Id="Rafeb54ff5b9a4a95" /><Relationship Type="http://schemas.openxmlformats.org/officeDocument/2006/relationships/worksheet" Target="/xl/worksheets/sheet1.xml" Id="R1ff7dd29d93b40b1" /><Relationship Type="http://schemas.openxmlformats.org/officeDocument/2006/relationships/worksheet" Target="/xl/worksheets/sheet2.xml" Id="R8e33b4df2cfa4350" /><Relationship Type="http://schemas.openxmlformats.org/officeDocument/2006/relationships/worksheet" Target="/xl/worksheets/sheet3.xml" Id="Rf12df73600374913" /><Relationship Type="http://schemas.openxmlformats.org/officeDocument/2006/relationships/worksheet" Target="/xl/worksheets/sheet4.xml" Id="R3d2f1af03ee94612" /><Relationship Type="http://schemas.openxmlformats.org/officeDocument/2006/relationships/worksheet" Target="/xl/worksheets/sheet5.xml" Id="R84a4023a8e4b4ab6" /><Relationship Type="http://schemas.openxmlformats.org/officeDocument/2006/relationships/worksheet" Target="/xl/worksheets/sheet6.xml" Id="Rfb4620b03518473f" /><Relationship Type="http://schemas.openxmlformats.org/officeDocument/2006/relationships/worksheet" Target="/xl/worksheets/sheet7.xml" Id="R5c5b9ec7df374e7a" /><Relationship Type="http://schemas.openxmlformats.org/officeDocument/2006/relationships/worksheet" Target="/xl/worksheets/sheet8.xml" Id="R0548f48d45284953" /><Relationship Type="http://schemas.openxmlformats.org/officeDocument/2006/relationships/worksheet" Target="/xl/worksheets/sheet9.xml" Id="R26a74e243f03472a" /><Relationship Type="http://schemas.openxmlformats.org/officeDocument/2006/relationships/worksheet" Target="/xl/worksheets/sheet10.xml" Id="Ra9a335c150c646ad" /><Relationship Type="http://schemas.openxmlformats.org/officeDocument/2006/relationships/worksheet" Target="/xl/worksheets/sheet11.xml" Id="Rf4acffd4e4f04501" /><Relationship Type="http://schemas.openxmlformats.org/officeDocument/2006/relationships/worksheet" Target="/xl/worksheets/sheet12.xml" Id="R7f163883812f4f8d" /><Relationship Type="http://schemas.openxmlformats.org/officeDocument/2006/relationships/worksheet" Target="/xl/worksheets/sheet13.xml" Id="R96ce3578923b44e2" /><Relationship Type="http://schemas.openxmlformats.org/officeDocument/2006/relationships/worksheet" Target="/xl/worksheets/sheet14.xml" Id="Rabedee926433469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e9433906971412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Final net per turn by good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'Dashboard'!$A$5:$A$15</c:f>
              <c:strCache>
                <c:ptCount val="0"/>
              </c:strCache>
            </c:strRef>
          </c:cat>
          <c:val>
            <c:numRef>
              <c:f>'Dashboard'!$B$5:$B$15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10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9433906971412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87df91a8e1843a6" /></Relationships>
</file>

<file path=xl/worksheets/sheet1.xml><?xml version="1.0" encoding="utf-8"?>
<x:worksheet xmlns:x="http://schemas.openxmlformats.org/spreadsheetml/2006/main">
  <x:sheetFormatPr defaultRowHeight="15"/>
  <x:cols>
    <x:col min="1" max="1" width="127.19000244140625" hidden="0" customWidth="1"/>
    <x:col min="2" max="2" width="12.25" hidden="0" customWidth="1"/>
    <x:col min="3" max="3" width="12.109999656677246" hidden="0" customWidth="1"/>
    <x:col min="4" max="4" width="10.09000015258789" hidden="0" customWidth="1"/>
    <x:col min="5" max="5" width="61.63999938964844" hidden="0" customWidth="1"/>
    <x:col min="7" max="7" width="18.84000015258789" hidden="0" customWidth="1"/>
    <x:col min="8" max="8" width="78.7300033569336" hidden="0" customWidth="1"/>
    <x:col min="6" max="6" width="4" hidden="0" customWidth="1"/>
  </x:cols>
  <x:sheetData>
    <x:row r="1" ht="28" customHeight="1">
      <x:c r="A1" s="72" t="str">
        <x:v>Tlaloc's Reign — Prototype 0 Balance Baseline v0.8</x:v>
      </x:c>
      <x:c r="B1" s="72"/>
      <x:c r="C1" s="72"/>
      <x:c r="D1" s="72"/>
      <x:c r="E1" s="72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 ht="28" customHeight="1">
      <x:c r="A2" s="50" t="str">
        <x:v>Rival Identity Pass: rivals are now framed as War Rival (Huitzilopochtli), Cunning Rival (Tezcatlipoca), and Diplomatic Rival (Quetzalcoatl). No balance values changed from v0.7.</x:v>
      </x:c>
      <x:c r="B2" s="50"/>
      <x:c r="C2" s="50"/>
      <x:c r="D2" s="50"/>
      <x:c r="E2" s="50"/>
      <x:c r="F2" s="30"/>
      <x:c r="G2" s="30"/>
      <x:c r="H2" s="30"/>
      <x:c r="I2" s="30"/>
      <x:c r="J2" s="30"/>
      <x:c r="K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>
      <x:c r="A4" s="30"/>
      <x:c r="B4" s="30"/>
      <x:c r="C4" s="30"/>
      <x:c r="D4" s="30"/>
      <x:c r="E4" s="30"/>
      <x:c r="F4" s="30"/>
      <x:c r="G4" s="59" t="str">
        <x:v>Baseline Interpretation</x:v>
      </x:c>
      <x:c r="H4" s="62" t="str">
        <x:v>Obsidian supply remains tighter, strengthening the War Rival's Huitzilopochtli-aligned war niche.</x:v>
      </x:c>
      <x:c r="I4" s="30"/>
      <x:c r="J4" s="30"/>
      <x:c r="K4" s="30"/>
    </x:row>
    <x:row r="5" ht="30" customHeight="1">
      <x:c r="A5" s="52" t="str">
        <x:v>Good</x:v>
      </x:c>
      <x:c r="B5" s="52" t="str">
        <x:v>Final net / turn</x:v>
      </x:c>
      <x:c r="C5" s="52" t="str">
        <x:v>18-turn impact</x:v>
      </x:c>
      <x:c r="D5" s="52" t="str">
        <x:v>Market read</x:v>
      </x:c>
      <x:c r="E5" s="52" t="str">
        <x:v>Design note</x:v>
      </x:c>
      <x:c r="F5" s="30"/>
      <x:c r="G5" s="30" t="str">
        <x:v>Key learning</x:v>
      </x:c>
      <x:c r="H5" s="30" t="str">
        <x:v>Wood/cotton/obsidian can remain positive because they are development fuels.</x:v>
      </x:c>
      <x:c r="I5" s="30"/>
      <x:c r="J5" s="30"/>
      <x:c r="K5" s="30"/>
    </x:row>
    <x:row r="6" ht="30" customHeight="1">
      <x:c r="A6" s="30" t="str">
        <x:f>'Market Balance'!A4</x:f>
        <x:v>Maize</x:v>
      </x:c>
      <x:c r="B6" s="36" t="n">
        <x:f>'Market Balance'!H4</x:f>
        <x:v>37.5</x:v>
      </x:c>
      <x:c r="C6" s="36" t="n">
        <x:f>'Market Balance'!I4</x:f>
        <x:v>675</x:v>
      </x:c>
      <x:c r="D6" s="30" t="str">
        <x:f>'Market Balance'!J4</x:f>
        <x:v>Surplus</x:v>
      </x:c>
      <x:c r="E6" s="30" t="str">
        <x:f>'Market Balance'!K4</x:f>
        <x:v>Core food pressure; player maize surplus should matter.</x:v>
      </x:c>
      <x:c r="F6" s="30"/>
      <x:c r="G6" s="30" t="str">
        <x:v>Main bottleneck</x:v>
      </x:c>
      <x:c r="H6" s="30" t="str">
        <x:v>Cloth remains the broadest everyday bottleneck.</x:v>
      </x:c>
      <x:c r="I6" s="30"/>
      <x:c r="J6" s="30"/>
      <x:c r="K6" s="30"/>
    </x:row>
    <x:row r="7" ht="30" customHeight="1">
      <x:c r="A7" s="30" t="str">
        <x:f>'Market Balance'!A5</x:f>
        <x:v>Wood</x:v>
      </x:c>
      <x:c r="B7" s="36" t="n">
        <x:f>'Market Balance'!H5</x:f>
        <x:v>27.5</x:v>
      </x:c>
      <x:c r="C7" s="36" t="n">
        <x:f>'Market Balance'!I5</x:f>
        <x:v>495</x:v>
      </x:c>
      <x:c r="D7" s="30" t="str">
        <x:f>'Market Balance'!J5</x:f>
        <x:v>Surplus</x:v>
      </x:c>
      <x:c r="E7" s="30" t="str">
        <x:f>'Market Balance'!K5</x:f>
        <x:v>Construction and tool-chain input; surplus is useful if buildings consume it.</x:v>
      </x:c>
      <x:c r="F7" s="30"/>
      <x:c r="G7" s="30" t="str">
        <x:v>Tool state</x:v>
      </x:c>
      <x:c r="H7" s="30" t="str">
        <x:v>Starter Basic Tool Workshops keep tools near balanced.</x:v>
      </x:c>
      <x:c r="I7" s="30"/>
      <x:c r="J7" s="30"/>
      <x:c r="K7" s="30"/>
    </x:row>
    <x:row r="8" ht="30" customHeight="1">
      <x:c r="A8" s="30" t="str">
        <x:f>'Market Balance'!A6</x:f>
        <x:v>Cotton</x:v>
      </x:c>
      <x:c r="B8" s="36" t="n">
        <x:f>'Market Balance'!H6</x:f>
        <x:v>14.527777777777779</x:v>
      </x:c>
      <x:c r="C8" s="36" t="n">
        <x:f>'Market Balance'!I6</x:f>
        <x:v>261.5</x:v>
      </x:c>
      <x:c r="D8" s="30" t="str">
        <x:f>'Market Balance'!J6</x:f>
        <x:v>Surplus</x:v>
      </x:c>
      <x:c r="E8" s="30" t="str">
        <x:f>'Market Balance'!K6</x:f>
        <x:v>Textile-chain input and low-status upkeep; should remain useful surplus.</x:v>
      </x:c>
      <x:c r="F8" s="30"/>
      <x:c r="G8" s="30" t="str">
        <x:v>Rival identities</x:v>
      </x:c>
      <x:c r="H8" s="30" t="str">
        <x:v>Cunning Rival = Tezcatlipoca/sabotage leverage; Diplomatic Rival = Quetzalcoatl/palace legitimacy.</x:v>
      </x:c>
      <x:c r="I8" s="30"/>
      <x:c r="J8" s="30"/>
      <x:c r="K8" s="30"/>
    </x:row>
    <x:row r="9" ht="30" customHeight="1">
      <x:c r="A9" s="30" t="str">
        <x:f>'Market Balance'!A7</x:f>
        <x:v>Cloth</x:v>
      </x:c>
      <x:c r="B9" s="36" t="n">
        <x:f>'Market Balance'!H7</x:f>
        <x:v>-0.6111111111111112</x:v>
      </x:c>
      <x:c r="C9" s="36" t="n">
        <x:f>'Market Balance'!I7</x:f>
        <x:v>-11</x:v>
      </x:c>
      <x:c r="D9" s="30" t="str">
        <x:f>'Market Balance'!J7</x:f>
        <x:v>Balanced</x:v>
      </x:c>
      <x:c r="E9" s="30" t="str">
        <x:f>'Market Balance'!K7</x:f>
        <x:v>Broad social upkeep and construction bottleneck.</x:v>
      </x:c>
      <x:c r="F9" s="30"/>
      <x:c r="G9" s="30" t="str">
        <x:v>Next test</x:v>
      </x:c>
      <x:c r="H9" s="30" t="str">
        <x:v>Feed these values into the estate-stockpile market model and observe one-year market coverage.</x:v>
      </x:c>
      <x:c r="I9" s="30"/>
      <x:c r="J9" s="30"/>
      <x:c r="K9" s="30"/>
    </x:row>
    <x:row r="10" ht="30" customHeight="1">
      <x:c r="A10" s="30" t="str">
        <x:f>'Market Balance'!A8</x:f>
        <x:v>Tools</x:v>
      </x:c>
      <x:c r="B10" s="36" t="n">
        <x:f>'Market Balance'!H8</x:f>
        <x:v>1.5</x:v>
      </x:c>
      <x:c r="C10" s="36" t="n">
        <x:f>'Market Balance'!I8</x:f>
        <x:v>27</x:v>
      </x:c>
      <x:c r="D10" s="30" t="str">
        <x:f>'Market Balance'!J8</x:f>
        <x:v>Balanced</x:v>
      </x:c>
      <x:c r="E10" s="30" t="str">
        <x:f>'Market Balance'!K8</x:f>
        <x:v>Hinge good for production/building; should be near-balanced, not paralysing.</x:v>
      </x:c>
      <x:c r="F10" s="30"/>
      <x:c r="G10" s="30"/>
      <x:c r="H10" s="30"/>
      <x:c r="I10" s="30"/>
      <x:c r="J10" s="30"/>
      <x:c r="K10" s="30"/>
    </x:row>
    <x:row r="11" ht="30" customHeight="1">
      <x:c r="A11" s="30" t="str">
        <x:f>'Market Balance'!A9</x:f>
        <x:v>Obsidian</x:v>
      </x:c>
      <x:c r="B11" s="36" t="n">
        <x:f>'Market Balance'!H9</x:f>
        <x:v>3.4444444444444446</x:v>
      </x:c>
      <x:c r="C11" s="36" t="n">
        <x:f>'Market Balance'!I9</x:f>
        <x:v>62</x:v>
      </x:c>
      <x:c r="D11" s="30" t="str">
        <x:f>'Market Balance'!J9</x:f>
        <x:v>Balanced</x:v>
      </x:c>
      <x:c r="E11" s="30" t="str">
        <x:f>'Market Balance'!K9</x:f>
        <x:v>War/tool-chain input; can have surplus if war construction consumes it.</x:v>
      </x:c>
      <x:c r="F11" s="30"/>
      <x:c r="G11" s="30"/>
      <x:c r="H11" s="30"/>
      <x:c r="I11" s="30"/>
      <x:c r="J11" s="30"/>
      <x:c r="K11" s="30"/>
    </x:row>
    <x:row r="12" ht="30" customHeight="1">
      <x:c r="A12" s="30" t="str">
        <x:f>'Market Balance'!A10</x:f>
        <x:v>Weapons</x:v>
      </x:c>
      <x:c r="B12" s="36" t="n">
        <x:f>'Market Balance'!H10</x:f>
        <x:v>-2.2777777777777777</x:v>
      </x:c>
      <x:c r="C12" s="36" t="n">
        <x:f>'Market Balance'!I10</x:f>
        <x:v>-41</x:v>
      </x:c>
      <x:c r="D12" s="30" t="str">
        <x:f>'Market Balance'!J10</x:f>
        <x:v>Balanced</x:v>
      </x:c>
      <x:c r="E12" s="30" t="str">
        <x:f>'Market Balance'!K10</x:f>
        <x:v>Flower Wars bottleneck.</x:v>
      </x:c>
      <x:c r="F12" s="30"/>
      <x:c r="G12" s="30"/>
      <x:c r="H12" s="30"/>
      <x:c r="I12" s="30"/>
      <x:c r="J12" s="30"/>
      <x:c r="K12" s="30"/>
    </x:row>
    <x:row r="13" ht="30" customHeight="1">
      <x:c r="A13" s="30" t="str">
        <x:f>'Market Balance'!A11</x:f>
        <x:v>Ritual goods</x:v>
      </x:c>
      <x:c r="B13" s="36" t="n">
        <x:f>'Market Balance'!H11</x:f>
        <x:v>-0.1111111111111111</x:v>
      </x:c>
      <x:c r="C13" s="36" t="n">
        <x:f>'Market Balance'!I11</x:f>
        <x:v>-2</x:v>
      </x:c>
      <x:c r="D13" s="30" t="str">
        <x:f>'Market Balance'!J11</x:f>
        <x:v>Balanced</x:v>
      </x:c>
      <x:c r="E13" s="30" t="str">
        <x:f>'Market Balance'!K11</x:f>
        <x:v>Offering/religion bottleneck; should be near-balanced or slight deficit.</x:v>
      </x:c>
      <x:c r="F13" s="30"/>
      <x:c r="G13" s="30"/>
      <x:c r="H13" s="30"/>
      <x:c r="I13" s="30"/>
      <x:c r="J13" s="30"/>
      <x:c r="K13" s="30"/>
    </x:row>
    <x:row r="14" ht="30" customHeight="1">
      <x:c r="A14" s="30" t="str">
        <x:f>'Market Balance'!A12</x:f>
        <x:v>Cacao</x:v>
      </x:c>
      <x:c r="B14" s="36" t="n">
        <x:f>'Market Balance'!H12</x:f>
        <x:v>-0.8333333333333333</x:v>
      </x:c>
      <x:c r="C14" s="36" t="n">
        <x:f>'Market Balance'!I12</x:f>
        <x:v>-14.999999999999998</x:v>
      </x:c>
      <x:c r="D14" s="30" t="str">
        <x:f>'Market Balance'!J12</x:f>
        <x:v>Balanced</x:v>
      </x:c>
      <x:c r="E14" s="30" t="str">
        <x:f>'Market Balance'!K12</x:f>
        <x:v>Status/religion/barter pressure; slight deficit is desirable.</x:v>
      </x:c>
      <x:c r="F14" s="30"/>
      <x:c r="G14" s="30"/>
      <x:c r="H14" s="30"/>
      <x:c r="I14" s="30"/>
      <x:c r="J14" s="30"/>
      <x:c r="K14" s="30"/>
    </x:row>
    <x:row r="15" ht="30" customHeight="1">
      <x:c r="A15" s="30" t="str">
        <x:f>'Market Balance'!A13</x:f>
        <x:v>Fine textiles</x:v>
      </x:c>
      <x:c r="B15" s="36" t="n">
        <x:f>'Market Balance'!H13</x:f>
        <x:v>-1.0555555555555556</x:v>
      </x:c>
      <x:c r="C15" s="36" t="n">
        <x:f>'Market Balance'!I13</x:f>
        <x:v>-19</x:v>
      </x:c>
      <x:c r="D15" s="30" t="str">
        <x:f>'Market Balance'!J13</x:f>
        <x:v>Balanced</x:v>
      </x:c>
      <x:c r="E15" s="30" t="str">
        <x:f>'Market Balance'!K13</x:f>
        <x:v>Elite/palace bottleneck; small deficit is desirable.</x:v>
      </x:c>
      <x:c r="F15" s="30"/>
      <x:c r="G15" s="30"/>
      <x:c r="H15" s="30"/>
      <x:c r="I15" s="30"/>
      <x:c r="J15" s="30"/>
      <x:c r="K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</x:row>
    <x:row r="17">
      <x:c r="A17" s="138" t="str">
        <x:v>v0.11 Rival Build Order Pass</x:v>
      </x:c>
      <x:c r="B17" s="30" t="str"/>
      <x:c r="C17" s="30" t="str"/>
      <x:c r="D17" s="30" t="str"/>
      <x:c r="E17" s="30" t="str"/>
      <x:c r="F17" s="30" t="str"/>
      <x:c r="G17" s="30" t="str"/>
      <x:c r="H17" s="30" t="str"/>
      <x:c r="I17" s="30"/>
      <x:c r="J17" s="30"/>
      <x:c r="K17" s="30"/>
    </x:row>
    <x:row r="18">
      <x:c r="A18" s="140" t="str">
        <x:v>War Rival</x:v>
      </x:c>
      <x:c r="B18" s="139" t="str">
        <x:v>Huitzilopochtli</x:v>
      </x:c>
      <x:c r="C18" s="139" t="str">
        <x:v>Weapon Yard -&gt; Warrior House -&gt; Captive Holding</x:v>
      </x:c>
      <x:c r="D18" s="139" t="str"/>
      <x:c r="E18" s="139" t="str"/>
      <x:c r="F18" s="139" t="str"/>
      <x:c r="G18" s="139" t="str"/>
      <x:c r="H18" s="139" t="str"/>
      <x:c r="I18" s="30"/>
      <x:c r="J18" s="30"/>
      <x:c r="K18" s="30"/>
    </x:row>
    <x:row r="19">
      <x:c r="A19" s="140" t="str">
        <x:v>Cunning Rival</x:v>
      </x:c>
      <x:c r="B19" s="139" t="str">
        <x:v>Tezcatlipoca</x:v>
      </x:c>
      <x:c r="C19" s="139" t="str">
        <x:v>Storehouse -&gt; Advanced Tool Workshop -&gt; Cloth Workshop</x:v>
      </x:c>
      <x:c r="D19" s="139" t="str"/>
      <x:c r="E19" s="139" t="str"/>
      <x:c r="F19" s="139" t="str"/>
      <x:c r="G19" s="139" t="str"/>
      <x:c r="H19" s="139" t="str"/>
      <x:c r="I19" s="30"/>
      <x:c r="J19" s="30"/>
      <x:c r="K19" s="30"/>
    </x:row>
    <x:row r="20">
      <x:c r="A20" s="140" t="str">
        <x:v>Diplomatic Rival</x:v>
      </x:c>
      <x:c r="B20" s="139" t="str">
        <x:v>Quetzalcoatl</x:v>
      </x:c>
      <x:c r="C20" s="139" t="str">
        <x:v>Noble Residence -&gt; Fine Textile House -&gt; Cacao Expansion</x:v>
      </x:c>
      <x:c r="D20" s="139" t="str"/>
      <x:c r="E20" s="139" t="str"/>
      <x:c r="F20" s="139" t="str"/>
      <x:c r="G20" s="139" t="str"/>
      <x:c r="H20" s="139" t="str"/>
      <x:c r="I20" s="30"/>
      <x:c r="J20" s="30"/>
      <x:c r="K20" s="30"/>
    </x:row>
    <x:row r="21">
      <x:c r="A21" s="140" t="str">
        <x:v>Behaviour Rule</x:v>
      </x:c>
      <x:c r="B21" s="139" t="str">
        <x:v>Buy shortfalls first; sell only true surplus.</x:v>
      </x:c>
      <x:c r="C21" s="139" t="str"/>
      <x:c r="D21" s="139" t="str"/>
      <x:c r="E21" s="139" t="str"/>
      <x:c r="F21" s="139" t="str"/>
      <x:c r="G21" s="139" t="str"/>
      <x:c r="H21" s="139" t="str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</x:sheetData>
  <x:mergeCells>
    <x:mergeCell ref="A2:K2"/>
    <x:mergeCell ref="A1:E1"/>
    <x:mergeCell ref="A2:E2"/>
    <x:mergeCell ref="A17:H17"/>
  </x:mergeCells>
  <x:pageMargins left="0.7" right="0.7" top="0.75" bottom="0.75" header="0.3" footer="0.3"/>
  <x:drawing xmlns:r="http://schemas.openxmlformats.org/officeDocument/2006/relationships" r:id="R287df91a8e1843a6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>
      <x:c r="A1" s="34" t="str">
        <x:v>Prototype 0 Balance Baseline v0.5 — Status Group Upkeep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3">
      <x:c r="A3" s="8" t="str">
        <x:v>Group</x:v>
      </x:c>
      <x:c r="B3" s="8" t="str">
        <x:v>Population</x:v>
      </x:c>
      <x:c r="C3" s="8" t="str">
        <x:v>Maize</x:v>
      </x:c>
      <x:c r="D3" s="8" t="str">
        <x:v>Wood</x:v>
      </x:c>
      <x:c r="E3" s="8" t="str">
        <x:v>Cotton</x:v>
      </x:c>
      <x:c r="F3" s="8" t="str">
        <x:v>Cloth</x:v>
      </x:c>
      <x:c r="G3" s="8" t="str">
        <x:v>Tools</x:v>
      </x:c>
      <x:c r="H3" s="8" t="str">
        <x:v>Obsidian</x:v>
      </x:c>
      <x:c r="I3" s="8" t="str">
        <x:v>Weapons</x:v>
      </x:c>
      <x:c r="J3" s="8" t="str">
        <x:v>Ritual goods</x:v>
      </x:c>
      <x:c r="K3" s="8" t="str">
        <x:v>Cacao</x:v>
      </x:c>
      <x:c r="L3" s="8" t="str">
        <x:v>Fine textiles</x:v>
      </x:c>
      <x:c r="M3" s="8" t="str">
        <x:v>Maize upkeep</x:v>
      </x:c>
      <x:c r="N3" s="8" t="str">
        <x:v>Wood upkeep</x:v>
      </x:c>
      <x:c r="O3" s="8" t="str">
        <x:v>Cotton upkeep</x:v>
      </x:c>
      <x:c r="P3" s="8" t="str">
        <x:v>Cloth upkeep</x:v>
      </x:c>
      <x:c r="Q3" s="8" t="str">
        <x:v>Tools upkeep</x:v>
      </x:c>
      <x:c r="R3" s="8" t="str">
        <x:v>Obsidian upkeep</x:v>
      </x:c>
      <x:c r="S3" s="8" t="str">
        <x:v>Weapons upkeep</x:v>
      </x:c>
      <x:c r="T3" s="8" t="str">
        <x:v>Ritual goods upkeep</x:v>
      </x:c>
      <x:c r="U3" s="8" t="str">
        <x:v>Cacao upkeep</x:v>
      </x:c>
      <x:c r="V3" s="8" t="str">
        <x:v>Fine textiles upkeep</x:v>
      </x:c>
    </x:row>
    <x:row r="4">
      <x:c r="A4" t="str">
        <x:v>Macehualtin (commoners / labourers)</x:v>
      </x:c>
      <x:c r="B4" t="n">
        <x:v>3800</x:v>
      </x:c>
      <x:c r="C4" t="n">
        <x:v>1</x:v>
      </x:c>
      <x:c r="D4" t="n">
        <x:v>0</x:v>
      </x:c>
      <x:c r="E4" t="n">
        <x:v>0.05</x:v>
      </x:c>
      <x:c r="F4" t="n">
        <x:v>0.2</x:v>
      </x:c>
      <x:c r="G4" t="n">
        <x:v>0.1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f>$B4*C4/5</x:f>
        <x:v>760</x:v>
      </x:c>
      <x:c r="N4" t="n">
        <x:f>$B4*D4/5</x:f>
        <x:v>0</x:v>
      </x:c>
      <x:c r="O4" t="n">
        <x:f>$B4*E4/5</x:f>
        <x:v>38</x:v>
      </x:c>
      <x:c r="P4" t="n">
        <x:f>$B4*F4/5</x:f>
        <x:v>152</x:v>
      </x:c>
      <x:c r="Q4" t="n">
        <x:f>$B4*G4/5</x:f>
        <x:v>76</x:v>
      </x:c>
      <x:c r="R4" t="n">
        <x:f>$B4*H4/5</x:f>
        <x:v>0</x:v>
      </x:c>
      <x:c r="S4" t="n">
        <x:f>$B4*I4/5</x:f>
        <x:v>0</x:v>
      </x:c>
      <x:c r="T4" t="n">
        <x:f>$B4*J4/5</x:f>
        <x:v>0</x:v>
      </x:c>
      <x:c r="U4" t="n">
        <x:f>$B4*K4/5</x:f>
        <x:v>0</x:v>
      </x:c>
      <x:c r="V4" t="n">
        <x:f>$B4*L4/5</x:f>
        <x:v>0</x:v>
      </x:c>
    </x:row>
    <x:row r="5">
      <x:c r="A5" t="str">
        <x:v>Tlacotin (enslaved / bonded labourers)</x:v>
      </x:c>
      <x:c r="B5" t="n">
        <x:v>250</x:v>
      </x:c>
      <x:c r="C5" t="n">
        <x:v>0.5</x:v>
      </x:c>
      <x:c r="D5" t="n">
        <x:v>0</x:v>
      </x:c>
      <x:c r="E5" t="n">
        <x:v>0.025</x:v>
      </x:c>
      <x:c r="F5" t="n">
        <x:v>0.1</x:v>
      </x:c>
      <x:c r="G5" t="n">
        <x:v>0.05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f>$B5*C5/5</x:f>
        <x:v>25</x:v>
      </x:c>
      <x:c r="N5" t="n">
        <x:f>$B5*D5/5</x:f>
        <x:v>0</x:v>
      </x:c>
      <x:c r="O5" t="n">
        <x:f>$B5*E5/5</x:f>
        <x:v>1.25</x:v>
      </x:c>
      <x:c r="P5" t="n">
        <x:f>$B5*F5/5</x:f>
        <x:v>5</x:v>
      </x:c>
      <x:c r="Q5" t="n">
        <x:f>$B5*G5/5</x:f>
        <x:v>2.5</x:v>
      </x:c>
      <x:c r="R5" t="n">
        <x:f>$B5*H5/5</x:f>
        <x:v>0</x:v>
      </x:c>
      <x:c r="S5" t="n">
        <x:f>$B5*I5/5</x:f>
        <x:v>0</x:v>
      </x:c>
      <x:c r="T5" t="n">
        <x:f>$B5*J5/5</x:f>
        <x:v>0</x:v>
      </x:c>
      <x:c r="U5" t="n">
        <x:f>$B5*K5/5</x:f>
        <x:v>0</x:v>
      </x:c>
      <x:c r="V5" t="n">
        <x:f>$B5*L5/5</x:f>
        <x:v>0</x:v>
      </x:c>
    </x:row>
    <x:row r="6">
      <x:c r="A6" t="str">
        <x:v>Tolteca (artisans / skilled workers)</x:v>
      </x:c>
      <x:c r="B6" t="n">
        <x:v>450</x:v>
      </x:c>
      <x:c r="C6" t="n">
        <x:v>1</x:v>
      </x:c>
      <x:c r="D6" t="n">
        <x:v>0</x:v>
      </x:c>
      <x:c r="E6" t="n">
        <x:v>0.1</x:v>
      </x:c>
      <x:c r="F6" t="n">
        <x:v>0.3</x:v>
      </x:c>
      <x:c r="G6" t="n">
        <x:v>0.25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f>$B6*C6/5</x:f>
        <x:v>90</x:v>
      </x:c>
      <x:c r="N6" t="n">
        <x:f>$B6*D6/5</x:f>
        <x:v>0</x:v>
      </x:c>
      <x:c r="O6" t="n">
        <x:f>$B6*E6/5</x:f>
        <x:v>9</x:v>
      </x:c>
      <x:c r="P6" t="n">
        <x:f>$B6*F6/5</x:f>
        <x:v>27</x:v>
      </x:c>
      <x:c r="Q6" t="n">
        <x:f>$B6*G6/5</x:f>
        <x:v>22.5</x:v>
      </x:c>
      <x:c r="R6" t="n">
        <x:f>$B6*H6/5</x:f>
        <x:v>0</x:v>
      </x:c>
      <x:c r="S6" t="n">
        <x:f>$B6*I6/5</x:f>
        <x:v>0</x:v>
      </x:c>
      <x:c r="T6" t="n">
        <x:f>$B6*J6/5</x:f>
        <x:v>0</x:v>
      </x:c>
      <x:c r="U6" t="n">
        <x:f>$B6*K6/5</x:f>
        <x:v>0</x:v>
      </x:c>
      <x:c r="V6" t="n">
        <x:f>$B6*L6/5</x:f>
        <x:v>0</x:v>
      </x:c>
    </x:row>
    <x:row r="7">
      <x:c r="A7" t="str">
        <x:v>Yaotequihuaqueh (warriors)</x:v>
      </x:c>
      <x:c r="B7" t="n">
        <x:v>250</x:v>
      </x:c>
      <x:c r="C7" t="n">
        <x:v>1.25</x:v>
      </x:c>
      <x:c r="D7" t="n">
        <x:v>0</x:v>
      </x:c>
      <x:c r="E7" t="n">
        <x:v>0</x:v>
      </x:c>
      <x:c r="F7" t="n">
        <x:v>0.3</x:v>
      </x:c>
      <x:c r="G7" t="n">
        <x:v>0.1</x:v>
      </x:c>
      <x:c r="H7" t="n">
        <x:v>0</x:v>
      </x:c>
      <x:c r="I7" t="n">
        <x:v>0.2</x:v>
      </x:c>
      <x:c r="J7" t="n">
        <x:v>0</x:v>
      </x:c>
      <x:c r="K7" t="n">
        <x:v>0.05</x:v>
      </x:c>
      <x:c r="L7" t="n">
        <x:v>0</x:v>
      </x:c>
      <x:c r="M7" t="n">
        <x:f>$B7*C7/5</x:f>
        <x:v>62.5</x:v>
      </x:c>
      <x:c r="N7" t="n">
        <x:f>$B7*D7/5</x:f>
        <x:v>0</x:v>
      </x:c>
      <x:c r="O7" t="n">
        <x:f>$B7*E7/5</x:f>
        <x:v>0</x:v>
      </x:c>
      <x:c r="P7" t="n">
        <x:f>$B7*F7/5</x:f>
        <x:v>15</x:v>
      </x:c>
      <x:c r="Q7" t="n">
        <x:f>$B7*G7/5</x:f>
        <x:v>5</x:v>
      </x:c>
      <x:c r="R7" t="n">
        <x:f>$B7*H7/5</x:f>
        <x:v>0</x:v>
      </x:c>
      <x:c r="S7" t="n">
        <x:f>$B7*I7/5</x:f>
        <x:v>10</x:v>
      </x:c>
      <x:c r="T7" t="n">
        <x:f>$B7*J7/5</x:f>
        <x:v>0</x:v>
      </x:c>
      <x:c r="U7" t="n">
        <x:f>$B7*K7/5</x:f>
        <x:v>2.5</x:v>
      </x:c>
      <x:c r="V7" t="n">
        <x:f>$B7*L7/5</x:f>
        <x:v>0</x:v>
      </x:c>
    </x:row>
    <x:row r="8">
      <x:c r="A8" t="str">
        <x:v>Tlamacazqueh (priests / ritual servants)</x:v>
      </x:c>
      <x:c r="B8" t="n">
        <x:v>100</x:v>
      </x:c>
      <x:c r="C8" t="n">
        <x:v>1</x:v>
      </x:c>
      <x:c r="D8" t="n">
        <x:v>0</x:v>
      </x:c>
      <x:c r="E8" t="n">
        <x:v>0</x:v>
      </x:c>
      <x:c r="F8" t="n">
        <x:v>0.2</x:v>
      </x:c>
      <x:c r="G8" t="n">
        <x:v>0</x:v>
      </x:c>
      <x:c r="H8" t="n">
        <x:v>0</x:v>
      </x:c>
      <x:c r="I8" t="n">
        <x:v>0</x:v>
      </x:c>
      <x:c r="J8" t="n">
        <x:v>0.2</x:v>
      </x:c>
      <x:c r="K8" t="n">
        <x:v>0.1</x:v>
      </x:c>
      <x:c r="L8" t="n">
        <x:v>0</x:v>
      </x:c>
      <x:c r="M8" t="n">
        <x:f>$B8*C8/5</x:f>
        <x:v>20</x:v>
      </x:c>
      <x:c r="N8" t="n">
        <x:f>$B8*D8/5</x:f>
        <x:v>0</x:v>
      </x:c>
      <x:c r="O8" t="n">
        <x:f>$B8*E8/5</x:f>
        <x:v>0</x:v>
      </x:c>
      <x:c r="P8" t="n">
        <x:f>$B8*F8/5</x:f>
        <x:v>4</x:v>
      </x:c>
      <x:c r="Q8" t="n">
        <x:f>$B8*G8/5</x:f>
        <x:v>0</x:v>
      </x:c>
      <x:c r="R8" t="n">
        <x:f>$B8*H8/5</x:f>
        <x:v>0</x:v>
      </x:c>
      <x:c r="S8" t="n">
        <x:f>$B8*I8/5</x:f>
        <x:v>0</x:v>
      </x:c>
      <x:c r="T8" t="n">
        <x:f>$B8*J8/5</x:f>
        <x:v>4</x:v>
      </x:c>
      <x:c r="U8" t="n">
        <x:f>$B8*K8/5</x:f>
        <x:v>2</x:v>
      </x:c>
      <x:c r="V8" t="n">
        <x:f>$B8*L8/5</x:f>
        <x:v>0</x:v>
      </x:c>
    </x:row>
    <x:row r="9">
      <x:c r="A9" t="str">
        <x:v>Pipiltin (nobles)</x:v>
      </x:c>
      <x:c r="B9" t="n">
        <x:v>100</x:v>
      </x:c>
      <x:c r="C9" t="n">
        <x:v>1</x:v>
      </x:c>
      <x:c r="D9" t="n">
        <x:v>0</x:v>
      </x:c>
      <x:c r="E9" t="n">
        <x:v>0</x:v>
      </x:c>
      <x:c r="F9" t="n">
        <x:v>0.4</x:v>
      </x:c>
      <x:c r="G9" t="n">
        <x:v>0</x:v>
      </x:c>
      <x:c r="H9" t="n">
        <x:v>0</x:v>
      </x:c>
      <x:c r="I9" t="n">
        <x:v>0</x:v>
      </x:c>
      <x:c r="J9" t="n">
        <x:v>0.1</x:v>
      </x:c>
      <x:c r="K9" t="n">
        <x:v>0.3</x:v>
      </x:c>
      <x:c r="L9" t="n">
        <x:v>0.2</x:v>
      </x:c>
      <x:c r="M9" t="n">
        <x:f>$B9*C9/5</x:f>
        <x:v>20</x:v>
      </x:c>
      <x:c r="N9" t="n">
        <x:f>$B9*D9/5</x:f>
        <x:v>0</x:v>
      </x:c>
      <x:c r="O9" t="n">
        <x:f>$B9*E9/5</x:f>
        <x:v>0</x:v>
      </x:c>
      <x:c r="P9" t="n">
        <x:f>$B9*F9/5</x:f>
        <x:v>8</x:v>
      </x:c>
      <x:c r="Q9" t="n">
        <x:f>$B9*G9/5</x:f>
        <x:v>0</x:v>
      </x:c>
      <x:c r="R9" t="n">
        <x:f>$B9*H9/5</x:f>
        <x:v>0</x:v>
      </x:c>
      <x:c r="S9" t="n">
        <x:f>$B9*I9/5</x:f>
        <x:v>0</x:v>
      </x:c>
      <x:c r="T9" t="n">
        <x:f>$B9*J9/5</x:f>
        <x:v>2</x:v>
      </x:c>
      <x:c r="U9" t="n">
        <x:f>$B9*K9/5</x:f>
        <x:v>6</x:v>
      </x:c>
      <x:c r="V9" t="n">
        <x:f>$B9*L9/5</x:f>
        <x:v>4</x:v>
      </x:c>
    </x:row>
    <x:row r="10">
      <x:c r="A10" t="str">
        <x:v>Malli (captives)</x:v>
      </x:c>
      <x:c r="B10" t="n">
        <x:v>50</x:v>
      </x:c>
      <x:c r="C10" t="n">
        <x:v>0.5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f>$B10*C10/5</x:f>
        <x:v>5</x:v>
      </x:c>
      <x:c r="N10" t="n">
        <x:f>$B10*D10/5</x:f>
        <x:v>0</x:v>
      </x:c>
      <x:c r="O10" t="n">
        <x:f>$B10*E10/5</x:f>
        <x:v>0</x:v>
      </x:c>
      <x:c r="P10" t="n">
        <x:f>$B10*F10/5</x:f>
        <x:v>0</x:v>
      </x:c>
      <x:c r="Q10" t="n">
        <x:f>$B10*G10/5</x:f>
        <x:v>0</x:v>
      </x:c>
      <x:c r="R10" t="n">
        <x:f>$B10*H10/5</x:f>
        <x:v>0</x:v>
      </x:c>
      <x:c r="S10" t="n">
        <x:f>$B10*I10/5</x:f>
        <x:v>0</x:v>
      </x:c>
      <x:c r="T10" t="n">
        <x:f>$B10*J10/5</x:f>
        <x:v>0</x:v>
      </x:c>
      <x:c r="U10" t="n">
        <x:f>$B10*K10/5</x:f>
        <x:v>0</x:v>
      </x:c>
      <x:c r="V10" t="n">
        <x:f>$B10*L10/5</x:f>
        <x:v>0</x:v>
      </x:c>
    </x:row>
    <x:row r="11">
      <x:c r="A11" s="18" t="str">
        <x:v>Total village upkeep</x:v>
      </x:c>
      <x:c r="B11" s="18" t="str"/>
      <x:c r="C11" s="18" t="str"/>
      <x:c r="D11" s="18" t="str"/>
      <x:c r="E11" s="18" t="str"/>
      <x:c r="F11" s="18" t="str"/>
      <x:c r="G11" s="18" t="str"/>
      <x:c r="H11" s="18" t="str"/>
      <x:c r="I11" s="18" t="str"/>
      <x:c r="J11" s="18" t="str"/>
      <x:c r="K11" s="18" t="str"/>
      <x:c r="L11" s="18" t="str"/>
      <x:c r="M11" s="18" t="n">
        <x:f>SUM(M4:M10)</x:f>
        <x:v>982.5</x:v>
      </x:c>
      <x:c r="N11" s="18" t="n">
        <x:f>SUM(N4:N10)</x:f>
        <x:v>0</x:v>
      </x:c>
      <x:c r="O11" s="18" t="n">
        <x:f>SUM(O4:O10)</x:f>
        <x:v>48.25</x:v>
      </x:c>
      <x:c r="P11" s="18" t="n">
        <x:f>SUM(P4:P10)</x:f>
        <x:v>211</x:v>
      </x:c>
      <x:c r="Q11" s="18" t="n">
        <x:f>SUM(Q4:Q10)</x:f>
        <x:v>106</x:v>
      </x:c>
      <x:c r="R11" s="18" t="n">
        <x:f>SUM(R4:R10)</x:f>
        <x:v>0</x:v>
      </x:c>
      <x:c r="S11" s="18" t="n">
        <x:f>SUM(S4:S10)</x:f>
        <x:v>10</x:v>
      </x:c>
      <x:c r="T11" s="18" t="n">
        <x:f>SUM(T4:T10)</x:f>
        <x:v>6</x:v>
      </x:c>
      <x:c r="U11" s="18" t="n">
        <x:f>SUM(U4:U10)</x:f>
        <x:v>10.5</x:v>
      </x:c>
      <x:c r="V11" s="18" t="n">
        <x:f>SUM(V4:V10)</x:f>
        <x:v>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" hidden="0" customWidth="1"/>
    <x:col min="3" max="3" width="3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>
      <x:c r="A1" s="34" t="str">
        <x:v>Village Background Production Buildings and Recipes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3">
      <x:c r="A3" s="8" t="str">
        <x:v>Building</x:v>
      </x:c>
      <x:c r="B3" s="8" t="str">
        <x:v>Count</x:v>
      </x:c>
      <x:c r="C3" s="8" t="str">
        <x:v>Staff Required</x:v>
      </x:c>
      <x:c r="D3" s="8" t="str">
        <x:v>Maize input</x:v>
      </x:c>
      <x:c r="E3" s="8" t="str">
        <x:v>Wood input</x:v>
      </x:c>
      <x:c r="F3" s="8" t="str">
        <x:v>Cotton input</x:v>
      </x:c>
      <x:c r="G3" s="8" t="str">
        <x:v>Cloth input</x:v>
      </x:c>
      <x:c r="H3" s="8" t="str">
        <x:v>Tools input</x:v>
      </x:c>
      <x:c r="I3" s="8" t="str">
        <x:v>Obsidian input</x:v>
      </x:c>
      <x:c r="J3" s="8" t="str">
        <x:v>Weapons input</x:v>
      </x:c>
      <x:c r="K3" s="8" t="str">
        <x:v>Ritual goods input</x:v>
      </x:c>
      <x:c r="L3" s="8" t="str">
        <x:v>Cacao input</x:v>
      </x:c>
      <x:c r="M3" s="8" t="str">
        <x:v>Fine textiles input</x:v>
      </x:c>
      <x:c r="N3" s="8" t="str">
        <x:v>Maize output</x:v>
      </x:c>
      <x:c r="O3" s="8" t="str">
        <x:v>Wood output</x:v>
      </x:c>
      <x:c r="P3" s="8" t="str">
        <x:v>Cotton output</x:v>
      </x:c>
      <x:c r="Q3" s="8" t="str">
        <x:v>Cloth output</x:v>
      </x:c>
      <x:c r="R3" s="8" t="str">
        <x:v>Tools output</x:v>
      </x:c>
      <x:c r="S3" s="8" t="str">
        <x:v>Obsidian output</x:v>
      </x:c>
      <x:c r="T3" s="8" t="str">
        <x:v>Weapons output</x:v>
      </x:c>
      <x:c r="U3" s="8" t="str">
        <x:v>Ritual goods output</x:v>
      </x:c>
      <x:c r="V3" s="8" t="str">
        <x:v>Cacao output</x:v>
      </x:c>
      <x:c r="W3" s="8" t="str">
        <x:v>Fine textiles output</x:v>
      </x:c>
    </x:row>
    <x:row r="4">
      <x:c r="A4" t="str">
        <x:v>Maize Field</x:v>
      </x:c>
      <x:c r="B4" t="n">
        <x:v>17</x:v>
      </x:c>
      <x:c r="C4" t="str">
        <x:v>75 Macehualtin/Tlacotin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0.5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60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</x:row>
    <x:row r="5">
      <x:c r="A5" t="str">
        <x:v>Cacao Garden</x:v>
      </x:c>
      <x:c r="B5" t="n">
        <x:v>6</x:v>
      </x:c>
      <x:c r="C5" t="str">
        <x:v>40 Macehualtin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0.25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2</x:v>
      </x:c>
      <x:c r="W5" t="n">
        <x:v>0</x:v>
      </x:c>
    </x:row>
    <x:row r="6">
      <x:c r="A6" t="str">
        <x:v>Cotton Field</x:v>
      </x:c>
      <x:c r="B6" t="n">
        <x:v>8</x:v>
      </x:c>
      <x:c r="C6" t="str">
        <x:v>60 Macehualtin/Tlacotin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0.25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30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</x:row>
    <x:row r="7">
      <x:c r="A7" t="str">
        <x:v>Woodcutting Yard</x:v>
      </x:c>
      <x:c r="B7" t="n">
        <x:v>6</x:v>
      </x:c>
      <x:c r="C7" t="str">
        <x:v>50 Macehualtin/Tlacotin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0.25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35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</x:row>
    <x:row r="8">
      <x:c r="A8" t="str">
        <x:v>Obsidian Workshop / Quarry Access</x:v>
      </x:c>
      <x:c r="B8" t="n">
        <x:v>1</x:v>
      </x:c>
      <x:c r="C8" t="str">
        <x:v>50 Macehualtin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0.5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14</x:v>
      </x:c>
      <x:c r="T8" t="n">
        <x:v>0</x:v>
      </x:c>
      <x:c r="U8" t="n">
        <x:v>0</x:v>
      </x:c>
      <x:c r="V8" t="n">
        <x:v>0</x:v>
      </x:c>
      <x:c r="W8" t="n">
        <x:v>0</x:v>
      </x:c>
    </x:row>
    <x:row r="9">
      <x:c r="A9" t="str">
        <x:v>Cloth Workshop</x:v>
      </x:c>
      <x:c r="B9" t="n">
        <x:v>8</x:v>
      </x:c>
      <x:c r="C9" t="str">
        <x:v>25 Tolteca</x:v>
      </x:c>
      <x:c r="D9" t="n">
        <x:v>0</x:v>
      </x:c>
      <x:c r="E9" t="n">
        <x:v>0</x:v>
      </x:c>
      <x:c r="F9" t="n">
        <x:v>20</x:v>
      </x:c>
      <x:c r="G9" t="n">
        <x:v>0</x:v>
      </x:c>
      <x:c r="H9" t="n">
        <x:v>0.5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28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</x:row>
    <x:row r="10">
      <x:c r="A10" t="str">
        <x:v>Advanced Tool Workshop</x:v>
      </x:c>
      <x:c r="B10" t="n">
        <x:v>5</x:v>
      </x:c>
      <x:c r="C10" t="str">
        <x:v>25 Tolteca</x:v>
      </x:c>
      <x:c r="D10" t="n">
        <x:v>0</x:v>
      </x:c>
      <x:c r="E10" t="n">
        <x:v>20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18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</x:row>
    <x:row r="11">
      <x:c r="A11" t="str">
        <x:v>Weapon Yard</x:v>
      </x:c>
      <x:c r="B11" t="n">
        <x:v>1</x:v>
      </x:c>
      <x:c r="C11" t="str">
        <x:v>25 Tolteca + 20 Yaotequihuaqueh</x:v>
      </x:c>
      <x:c r="D11" t="n">
        <x:v>0</x:v>
      </x:c>
      <x:c r="E11" t="n">
        <x:v>10</x:v>
      </x:c>
      <x:c r="F11" t="n">
        <x:v>0</x:v>
      </x:c>
      <x:c r="G11" t="n">
        <x:v>5</x:v>
      </x:c>
      <x:c r="H11" t="n">
        <x:v>1</x:v>
      </x:c>
      <x:c r="I11" t="n">
        <x:v>10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8</x:v>
      </x:c>
      <x:c r="U11" t="n">
        <x:v>0</x:v>
      </x:c>
      <x:c r="V11" t="n">
        <x:v>0</x:v>
      </x:c>
      <x:c r="W11" t="n">
        <x:v>0</x:v>
      </x:c>
    </x:row>
    <x:row r="12">
      <x:c r="A12" t="str">
        <x:v>Ritual Workshop</x:v>
      </x:c>
      <x:c r="B12" t="n">
        <x:v>1</x:v>
      </x:c>
      <x:c r="C12" t="str">
        <x:v>20 Tolteca + 5 Tlamacazqueh</x:v>
      </x:c>
      <x:c r="D12" t="n">
        <x:v>0</x:v>
      </x:c>
      <x:c r="E12" t="n">
        <x:v>5</x:v>
      </x:c>
      <x:c r="F12" t="n">
        <x:v>0</x:v>
      </x:c>
      <x:c r="G12" t="n">
        <x:v>5</x:v>
      </x:c>
      <x:c r="H12" t="n">
        <x:v>0.5</x:v>
      </x:c>
      <x:c r="I12" t="n">
        <x:v>0</x:v>
      </x:c>
      <x:c r="J12" t="n">
        <x:v>0</x:v>
      </x:c>
      <x:c r="K12" t="n">
        <x:v>0</x:v>
      </x:c>
      <x:c r="L12" t="n">
        <x:v>1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6</x:v>
      </x:c>
      <x:c r="V12" t="n">
        <x:v>0</x:v>
      </x:c>
      <x:c r="W12" t="n">
        <x:v>0</x:v>
      </x:c>
    </x:row>
    <x:row r="13">
      <x:c r="A13" t="str">
        <x:v>Fine Textile House</x:v>
      </x:c>
      <x:c r="B13" t="n">
        <x:v>1</x:v>
      </x:c>
      <x:c r="C13" t="str">
        <x:v>25 Tolteca</x:v>
      </x:c>
      <x:c r="D13" t="n">
        <x:v>0</x:v>
      </x:c>
      <x:c r="E13" t="n">
        <x:v>0</x:v>
      </x:c>
      <x:c r="F13" t="n">
        <x:v>15</x:v>
      </x:c>
      <x:c r="G13" t="n">
        <x:v>0</x:v>
      </x:c>
      <x:c r="H13" t="n">
        <x:v>0.5</x:v>
      </x:c>
      <x:c r="I13" t="n">
        <x:v>0</x:v>
      </x:c>
      <x:c r="J13" t="n">
        <x:v>0</x:v>
      </x:c>
      <x:c r="K13" t="n">
        <x:v>0</x:v>
      </x:c>
      <x:c r="L13" t="n">
        <x:v>1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3</x:v>
      </x:c>
    </x:row>
    <x:row r="14">
      <x:c r="A14" s="18" t="str">
        <x:v>Total</x:v>
      </x:c>
      <x:c r="B14" s="18" t="str"/>
      <x:c r="C14" s="18" t="str"/>
      <x:c r="D14" s="18" t="n">
        <x:f>SUMPRODUCT($B$4:$B$13,D$4:D$13)</x:f>
        <x:v>0</x:v>
      </x:c>
      <x:c r="E14" s="18" t="n">
        <x:f>SUMPRODUCT($B$4:$B$13,E$4:E$13)</x:f>
        <x:v>115</x:v>
      </x:c>
      <x:c r="F14" s="18" t="n">
        <x:f>SUMPRODUCT($B$4:$B$13,F$4:F$13)</x:f>
        <x:v>175</x:v>
      </x:c>
      <x:c r="G14" s="18" t="n">
        <x:f>SUMPRODUCT($B$4:$B$13,G$4:G$13)</x:f>
        <x:v>10</x:v>
      </x:c>
      <x:c r="H14" s="18" t="n">
        <x:f>SUMPRODUCT($B$4:$B$13,H$4:H$13)</x:f>
        <x:v>20</x:v>
      </x:c>
      <x:c r="I14" s="18" t="n">
        <x:f>SUMPRODUCT($B$4:$B$13,I$4:I$13)</x:f>
        <x:v>10</x:v>
      </x:c>
      <x:c r="J14" s="18" t="n">
        <x:f>SUMPRODUCT($B$4:$B$13,J$4:J$13)</x:f>
        <x:v>0</x:v>
      </x:c>
      <x:c r="K14" s="18" t="n">
        <x:f>SUMPRODUCT($B$4:$B$13,K$4:K$13)</x:f>
        <x:v>0</x:v>
      </x:c>
      <x:c r="L14" s="18" t="n">
        <x:f>SUMPRODUCT($B$4:$B$13,L$4:L$13)</x:f>
        <x:v>2</x:v>
      </x:c>
      <x:c r="M14" s="18" t="n">
        <x:f>SUMPRODUCT($B$4:$B$13,M$4:M$13)</x:f>
        <x:v>0</x:v>
      </x:c>
      <x:c r="N14" s="18" t="n">
        <x:f>SUMPRODUCT($B$4:$B$13,N$4:N$13)</x:f>
        <x:v>1020</x:v>
      </x:c>
      <x:c r="O14" s="18" t="n">
        <x:f>SUMPRODUCT($B$4:$B$13,O$4:O$13)</x:f>
        <x:v>210</x:v>
      </x:c>
      <x:c r="P14" s="18" t="n">
        <x:f>SUMPRODUCT($B$4:$B$13,P$4:P$13)</x:f>
        <x:v>240</x:v>
      </x:c>
      <x:c r="Q14" s="18" t="n">
        <x:f>SUMPRODUCT($B$4:$B$13,Q$4:Q$13)</x:f>
        <x:v>224</x:v>
      </x:c>
      <x:c r="R14" s="18" t="n">
        <x:f>SUMPRODUCT($B$4:$B$13,R$4:R$13)</x:f>
        <x:v>90</x:v>
      </x:c>
      <x:c r="S14" s="18" t="n">
        <x:f>SUMPRODUCT($B$4:$B$13,S$4:S$13)</x:f>
        <x:v>14</x:v>
      </x:c>
      <x:c r="T14" s="18" t="n">
        <x:f>SUMPRODUCT($B$4:$B$13,T$4:T$13)</x:f>
        <x:v>8</x:v>
      </x:c>
      <x:c r="U14" s="18" t="n">
        <x:f>SUMPRODUCT($B$4:$B$13,U$4:U$13)</x:f>
        <x:v>6</x:v>
      </x:c>
      <x:c r="V14" s="18" t="n">
        <x:f>SUMPRODUCT($B$4:$B$13,V$4:V$13)</x:f>
        <x:v>12</x:v>
      </x:c>
      <x:c r="W14" s="18" t="n">
        <x:f>SUMPRODUCT($B$4:$B$13,W$4:W$13)</x:f>
        <x:v>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7.88999938964844" hidden="0" customWidth="1"/>
    <x:col min="2" max="2" width="17.5" hidden="0" customWidth="1"/>
    <x:col min="3" max="3" width="9.6899995803833" hidden="0" customWidth="1"/>
    <x:col min="4" max="4" width="9.5600004196167" hidden="0" customWidth="1"/>
    <x:col min="5" max="5" width="10.229999542236328" hidden="0" customWidth="1"/>
    <x:col min="6" max="6" width="9.020000457763672" hidden="0" customWidth="1"/>
    <x:col min="7" max="7" width="8.880000114440918" hidden="0" customWidth="1"/>
    <x:col min="8" max="8" width="11.979999542236328" hidden="0" customWidth="1"/>
    <x:col min="9" max="9" width="12.380000114440918" hidden="0" customWidth="1"/>
    <x:col min="10" max="10" width="14.800000190734863" hidden="0" customWidth="1"/>
    <x:col min="11" max="11" width="9.5600004196167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>
      <x:c r="A1" s="34" t="str">
        <x:v>Starter Basic Tool Workshops: Estate-Level Counts and Per-Building Recipe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  <x:c r="J2" s="30"/>
      <x:c r="K2" s="30"/>
    </x:row>
    <x:row r="3">
      <x:c r="A3" s="8" t="str">
        <x:v>Estate</x:v>
      </x:c>
      <x:c r="B3" s="8" t="str">
        <x:v>Basic Tool Workshops</x:v>
      </x:c>
      <x:c r="C3" s="8" t="str">
        <x:v>Maize input</x:v>
      </x:c>
      <x:c r="D3" s="8" t="str">
        <x:v>Wood input</x:v>
      </x:c>
      <x:c r="E3" s="8" t="str">
        <x:v>Cotton input</x:v>
      </x:c>
      <x:c r="F3" s="8" t="str">
        <x:v>Cloth input</x:v>
      </x:c>
      <x:c r="G3" s="8" t="str">
        <x:v>Tools input</x:v>
      </x:c>
      <x:c r="H3" s="8" t="str">
        <x:v>Obsidian input</x:v>
      </x:c>
      <x:c r="I3" s="8" t="str">
        <x:v>Weapons input</x:v>
      </x:c>
      <x:c r="J3" s="8" t="str">
        <x:v>Ritual goods input</x:v>
      </x:c>
      <x:c r="K3" s="8" t="str">
        <x:v>Cacao input</x:v>
      </x:c>
      <x:c r="L3" s="8" t="str">
        <x:v>Fine textiles input</x:v>
      </x:c>
      <x:c r="M3" s="8" t="str">
        <x:v>Maize output</x:v>
      </x:c>
      <x:c r="N3" s="8" t="str">
        <x:v>Wood output</x:v>
      </x:c>
      <x:c r="O3" s="8" t="str">
        <x:v>Cotton output</x:v>
      </x:c>
      <x:c r="P3" s="8" t="str">
        <x:v>Cloth output</x:v>
      </x:c>
      <x:c r="Q3" s="8" t="str">
        <x:v>Tools output</x:v>
      </x:c>
      <x:c r="R3" s="8" t="str">
        <x:v>Obsidian output</x:v>
      </x:c>
      <x:c r="S3" s="8" t="str">
        <x:v>Weapons output</x:v>
      </x:c>
      <x:c r="T3" s="8" t="str">
        <x:v>Ritual goods output</x:v>
      </x:c>
      <x:c r="U3" s="8" t="str">
        <x:v>Cacao output</x:v>
      </x:c>
      <x:c r="V3" s="8" t="str">
        <x:v>Fine textiles output</x:v>
      </x:c>
    </x:row>
    <x:row r="4">
      <x:c r="A4" s="30" t="str">
        <x:v>Player Estate</x:v>
      </x:c>
      <x:c r="B4" s="30" t="n">
        <x:v>1</x:v>
      </x:c>
      <x:c r="C4" s="30" t="n">
        <x:v>0</x:v>
      </x:c>
      <x:c r="D4" s="30" t="n">
        <x:v>10</x:v>
      </x:c>
      <x:c r="E4" s="30" t="n">
        <x:v>0</x:v>
      </x:c>
      <x:c r="F4" s="30" t="n">
        <x:v>0</x:v>
      </x:c>
      <x:c r="G4" s="30" t="n">
        <x:v>0</x:v>
      </x:c>
      <x:c r="H4" s="30" t="n">
        <x:v>0</x:v>
      </x:c>
      <x:c r="I4" s="30" t="n">
        <x:v>0</x:v>
      </x:c>
      <x:c r="J4" s="30" t="n">
        <x:v>0</x:v>
      </x:c>
      <x:c r="K4" s="30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8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</x:row>
    <x:row r="5">
      <x:c r="A5" s="30" t="str">
        <x:v>War Rival Estate</x:v>
      </x:c>
      <x:c r="B5" s="30" t="n">
        <x:v>1</x:v>
      </x:c>
      <x:c r="C5" s="30" t="n">
        <x:v>0</x:v>
      </x:c>
      <x:c r="D5" s="30" t="n">
        <x:v>10</x:v>
      </x:c>
      <x:c r="E5" s="30" t="n">
        <x:v>0</x:v>
      </x:c>
      <x:c r="F5" s="30" t="n">
        <x:v>0</x:v>
      </x:c>
      <x:c r="G5" s="30" t="n">
        <x:v>0</x:v>
      </x:c>
      <x:c r="H5" s="30" t="n">
        <x:v>0</x:v>
      </x:c>
      <x:c r="I5" s="30" t="n">
        <x:v>0</x:v>
      </x:c>
      <x:c r="J5" s="30" t="n">
        <x:v>0</x:v>
      </x:c>
      <x:c r="K5" s="30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8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</x:row>
    <x:row r="6">
      <x:c r="A6" s="30" t="str">
        <x:v>Cunning Rival Estate</x:v>
      </x:c>
      <x:c r="B6" s="30" t="n">
        <x:v>2</x:v>
      </x:c>
      <x:c r="C6" s="30" t="n">
        <x:v>0</x:v>
      </x:c>
      <x:c r="D6" s="30" t="n">
        <x:v>10</x:v>
      </x:c>
      <x:c r="E6" s="30" t="n">
        <x:v>0</x:v>
      </x:c>
      <x:c r="F6" s="30" t="n">
        <x:v>0</x:v>
      </x:c>
      <x:c r="G6" s="30" t="n">
        <x:v>0</x:v>
      </x:c>
      <x:c r="H6" s="30" t="n">
        <x:v>0</x:v>
      </x:c>
      <x:c r="I6" s="30" t="n">
        <x:v>0</x:v>
      </x:c>
      <x:c r="J6" s="30" t="n">
        <x:v>0</x:v>
      </x:c>
      <x:c r="K6" s="30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8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</x:row>
    <x:row r="7">
      <x:c r="A7" s="30" t="str">
        <x:v>Diplomatic Rival Estate</x:v>
      </x:c>
      <x:c r="B7" s="30" t="n">
        <x:v>1</x:v>
      </x:c>
      <x:c r="C7" s="30" t="n">
        <x:v>0</x:v>
      </x:c>
      <x:c r="D7" s="30" t="n">
        <x:v>10</x:v>
      </x:c>
      <x:c r="E7" s="30" t="n">
        <x:v>0</x:v>
      </x:c>
      <x:c r="F7" s="30" t="n">
        <x:v>0</x:v>
      </x:c>
      <x:c r="G7" s="30" t="n">
        <x:v>0</x:v>
      </x:c>
      <x:c r="H7" s="30" t="n">
        <x:v>0</x:v>
      </x:c>
      <x:c r="I7" s="30" t="n">
        <x:v>0</x:v>
      </x:c>
      <x:c r="J7" s="30" t="n">
        <x:v>0</x:v>
      </x:c>
      <x:c r="K7" s="30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8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</x:row>
    <x:row r="8">
      <x:c r="A8" s="18" t="str">
        <x:v>Total</x:v>
      </x:c>
      <x:c r="B8" s="18" t="str"/>
      <x:c r="C8" s="18" t="n">
        <x:f>SUMPRODUCT($B$4:$B$7,C$4:C$7)</x:f>
        <x:v>0</x:v>
      </x:c>
      <x:c r="D8" s="18" t="n">
        <x:f>SUMPRODUCT($B$4:$B$7,D$4:D$7)</x:f>
        <x:v>50</x:v>
      </x:c>
      <x:c r="E8" s="18" t="n">
        <x:f>SUMPRODUCT($B$4:$B$7,E$4:E$7)</x:f>
        <x:v>0</x:v>
      </x:c>
      <x:c r="F8" s="18" t="n">
        <x:f>SUMPRODUCT($B$4:$B$7,F$4:F$7)</x:f>
        <x:v>0</x:v>
      </x:c>
      <x:c r="G8" s="18" t="n">
        <x:f>SUMPRODUCT($B$4:$B$7,G$4:G$7)</x:f>
        <x:v>0</x:v>
      </x:c>
      <x:c r="H8" s="18" t="n">
        <x:f>SUMPRODUCT($B$4:$B$7,H$4:H$7)</x:f>
        <x:v>0</x:v>
      </x:c>
      <x:c r="I8" s="18" t="n">
        <x:f>SUMPRODUCT($B$4:$B$7,I$4:I$7)</x:f>
        <x:v>0</x:v>
      </x:c>
      <x:c r="J8" s="18" t="n">
        <x:f>SUMPRODUCT($B$4:$B$7,J$4:J$7)</x:f>
        <x:v>0</x:v>
      </x:c>
      <x:c r="K8" s="18" t="n">
        <x:f>SUMPRODUCT($B$4:$B$7,K$4:K$7)</x:f>
        <x:v>0</x:v>
      </x:c>
      <x:c r="L8" s="18" t="n">
        <x:f>SUMPRODUCT($B$4:$B$7,L$4:L$7)</x:f>
        <x:v>0</x:v>
      </x:c>
      <x:c r="M8" s="18" t="n">
        <x:f>SUMPRODUCT($B$4:$B$7,M$4:M$7)</x:f>
        <x:v>0</x:v>
      </x:c>
      <x:c r="N8" s="18" t="n">
        <x:f>SUMPRODUCT($B$4:$B$7,N$4:N$7)</x:f>
        <x:v>0</x:v>
      </x:c>
      <x:c r="O8" s="18" t="n">
        <x:f>SUMPRODUCT($B$4:$B$7,O$4:O$7)</x:f>
        <x:v>0</x:v>
      </x:c>
      <x:c r="P8" s="18" t="n">
        <x:f>SUMPRODUCT($B$4:$B$7,P$4:P$7)</x:f>
        <x:v>0</x:v>
      </x:c>
      <x:c r="Q8" s="18" t="n">
        <x:f>SUMPRODUCT($B$4:$B$7,Q$4:Q$7)</x:f>
        <x:v>40</x:v>
      </x:c>
      <x:c r="R8" s="18" t="n">
        <x:f>SUMPRODUCT($B$4:$B$7,R$4:R$7)</x:f>
        <x:v>0</x:v>
      </x:c>
      <x:c r="S8" s="18" t="n">
        <x:f>SUMPRODUCT($B$4:$B$7,S$4:S$7)</x:f>
        <x:v>0</x:v>
      </x:c>
      <x:c r="T8" s="18" t="n">
        <x:f>SUMPRODUCT($B$4:$B$7,T$4:T$7)</x:f>
        <x:v>0</x:v>
      </x:c>
      <x:c r="U8" s="18" t="n">
        <x:f>SUMPRODUCT($B$4:$B$7,U$4:U$7)</x:f>
        <x:v>0</x:v>
      </x:c>
      <x:c r="V8" s="18" t="n">
        <x:f>SUMPRODUCT($B$4:$B$7,V$4:V$7)</x:f>
        <x:v>0</x:v>
      </x:c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5.30000305175781" hidden="0" customWidth="1"/>
    <x:col min="2" max="2" width="4.849999904632568" hidden="0" customWidth="1"/>
    <x:col min="3" max="3" width="4.849999904632568" hidden="0" customWidth="1"/>
    <x:col min="4" max="4" width="4.849999904632568" hidden="0" customWidth="1"/>
    <x:col min="5" max="5" width="10.5" hidden="0" customWidth="1"/>
    <x:col min="6" max="6" width="10.5" hidden="0" customWidth="1"/>
    <x:col min="7" max="7" width="4.170000076293945" hidden="0" customWidth="1"/>
    <x:col min="8" max="8" width="10.5" hidden="0" customWidth="1"/>
    <x:col min="9" max="9" width="10.5" hidden="0" customWidth="1"/>
    <x:col min="10" max="10" width="10.5" hidden="0" customWidth="1"/>
    <x:col min="11" max="11" width="10.5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>
      <x:c r="A1" s="34" t="str">
        <x:v>Year 1 Construction Demand — Spread Across One Ritual Year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s="25" t="str">
        <x:v>Construction demand is annual planned expenditure divided by 18 Veintenas. It represents player/rival consolidation pressure, not a fixed rule for every year.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>
      <x:c r="A4" s="8" t="str">
        <x:v>Project</x:v>
      </x:c>
      <x:c r="B4" s="8" t="str">
        <x:v>Count</x:v>
      </x:c>
      <x:c r="C4" s="8" t="str">
        <x:v>Maize</x:v>
      </x:c>
      <x:c r="D4" s="8" t="str">
        <x:v>Wood</x:v>
      </x:c>
      <x:c r="E4" s="8" t="str">
        <x:v>Cotton</x:v>
      </x:c>
      <x:c r="F4" s="8" t="str">
        <x:v>Cloth</x:v>
      </x:c>
      <x:c r="G4" s="8" t="str">
        <x:v>Tools</x:v>
      </x:c>
      <x:c r="H4" s="8" t="str">
        <x:v>Obsidian</x:v>
      </x:c>
      <x:c r="I4" s="8" t="str">
        <x:v>Weapons</x:v>
      </x:c>
      <x:c r="J4" s="8" t="str">
        <x:v>Ritual goods</x:v>
      </x:c>
      <x:c r="K4" s="8" t="str">
        <x:v>Cacao</x:v>
      </x:c>
      <x:c r="L4" s="8" t="str">
        <x:v>Fine textiles</x:v>
      </x:c>
      <x:c r="M4" s="8" t="str">
        <x:v>Maize / turn</x:v>
      </x:c>
      <x:c r="N4" s="8" t="str">
        <x:v>Wood / turn</x:v>
      </x:c>
      <x:c r="O4" s="8" t="str">
        <x:v>Cotton / turn</x:v>
      </x:c>
      <x:c r="P4" s="8" t="str">
        <x:v>Cloth / turn</x:v>
      </x:c>
      <x:c r="Q4" s="8" t="str">
        <x:v>Tools / turn</x:v>
      </x:c>
      <x:c r="R4" s="8" t="str">
        <x:v>Obsidian / turn</x:v>
      </x:c>
      <x:c r="S4" s="8" t="str">
        <x:v>Weapons / turn</x:v>
      </x:c>
      <x:c r="T4" s="8" t="str">
        <x:v>Ritual goods / turn</x:v>
      </x:c>
      <x:c r="U4" s="8" t="str">
        <x:v>Cacao / turn</x:v>
      </x:c>
      <x:c r="V4" s="8" t="str">
        <x:v>Fine textiles / turn</x:v>
      </x:c>
    </x:row>
    <x:row r="5">
      <x:c r="A5" s="30" t="str">
        <x:v>Player Estate - Cloth Workshop</x:v>
      </x:c>
      <x:c r="B5" s="30" t="n">
        <x:v>1</x:v>
      </x:c>
      <x:c r="C5" s="30" t="n">
        <x:v>0</x:v>
      </x:c>
      <x:c r="D5" s="30" t="n">
        <x:v>40</x:v>
      </x:c>
      <x:c r="E5" s="30" t="n">
        <x:v>20</x:v>
      </x:c>
      <x:c r="F5" s="30" t="n">
        <x:v>0</x:v>
      </x:c>
      <x:c r="G5" s="30" t="n">
        <x:v>10</x:v>
      </x:c>
      <x:c r="H5" s="30" t="n">
        <x:v>0</x:v>
      </x:c>
      <x:c r="I5" s="30" t="n">
        <x:v>0</x:v>
      </x:c>
      <x:c r="J5" s="30" t="n">
        <x:v>0</x:v>
      </x:c>
      <x:c r="K5" s="30" t="n">
        <x:v>0</x:v>
      </x:c>
      <x:c r="L5" t="n">
        <x:v>0</x:v>
      </x:c>
      <x:c r="M5" t="n">
        <x:f>C5/18</x:f>
        <x:v>0</x:v>
      </x:c>
      <x:c r="N5" t="n">
        <x:f>D5/18</x:f>
        <x:v>2.2222222222222223</x:v>
      </x:c>
      <x:c r="O5" t="n">
        <x:f>E5/18</x:f>
        <x:v>1.1111111111111112</x:v>
      </x:c>
      <x:c r="P5" t="n">
        <x:f>F5/18</x:f>
        <x:v>0</x:v>
      </x:c>
      <x:c r="Q5" t="n">
        <x:f>G5/18</x:f>
        <x:v>0.5555555555555556</x:v>
      </x:c>
      <x:c r="R5" t="n">
        <x:f>H5/18</x:f>
        <x:v>0</x:v>
      </x:c>
      <x:c r="S5" t="n">
        <x:f>I5/18</x:f>
        <x:v>0</x:v>
      </x:c>
      <x:c r="T5" t="n">
        <x:f>J5/18</x:f>
        <x:v>0</x:v>
      </x:c>
      <x:c r="U5" t="n">
        <x:f>K5/18</x:f>
        <x:v>0</x:v>
      </x:c>
      <x:c r="V5" t="n">
        <x:f>L5/18</x:f>
        <x:v>0</x:v>
      </x:c>
    </x:row>
    <x:row r="6">
      <x:c r="A6" s="30" t="str">
        <x:v>Player Estate - Commoner Housing</x:v>
      </x:c>
      <x:c r="B6" s="30" t="n">
        <x:v>1</x:v>
      </x:c>
      <x:c r="C6" s="30" t="n">
        <x:v>0</x:v>
      </x:c>
      <x:c r="D6" s="30" t="n">
        <x:v>40</x:v>
      </x:c>
      <x:c r="E6" s="30" t="n">
        <x:v>0</x:v>
      </x:c>
      <x:c r="F6" s="30" t="n">
        <x:v>10</x:v>
      </x:c>
      <x:c r="G6" s="30" t="n">
        <x:v>0</x:v>
      </x:c>
      <x:c r="H6" s="30" t="n">
        <x:v>0</x:v>
      </x:c>
      <x:c r="I6" s="30" t="n">
        <x:v>0</x:v>
      </x:c>
      <x:c r="J6" s="30" t="n">
        <x:v>0</x:v>
      </x:c>
      <x:c r="K6" s="30" t="n">
        <x:v>0</x:v>
      </x:c>
      <x:c r="L6" t="n">
        <x:v>0</x:v>
      </x:c>
      <x:c r="M6" t="n">
        <x:f>C6/18</x:f>
        <x:v>0</x:v>
      </x:c>
      <x:c r="N6" t="n">
        <x:f>D6/18</x:f>
        <x:v>2.2222222222222223</x:v>
      </x:c>
      <x:c r="O6" t="n">
        <x:f>E6/18</x:f>
        <x:v>0</x:v>
      </x:c>
      <x:c r="P6" t="n">
        <x:f>F6/18</x:f>
        <x:v>0.5555555555555556</x:v>
      </x:c>
      <x:c r="Q6" t="n">
        <x:f>G6/18</x:f>
        <x:v>0</x:v>
      </x:c>
      <x:c r="R6" t="n">
        <x:f>H6/18</x:f>
        <x:v>0</x:v>
      </x:c>
      <x:c r="S6" t="n">
        <x:f>I6/18</x:f>
        <x:v>0</x:v>
      </x:c>
      <x:c r="T6" t="n">
        <x:f>J6/18</x:f>
        <x:v>0</x:v>
      </x:c>
      <x:c r="U6" t="n">
        <x:f>K6/18</x:f>
        <x:v>0</x:v>
      </x:c>
      <x:c r="V6" t="n">
        <x:f>L6/18</x:f>
        <x:v>0</x:v>
      </x:c>
    </x:row>
    <x:row r="7">
      <x:c r="A7" s="30" t="str">
        <x:v>War Rival - Weapon Yard</x:v>
      </x:c>
      <x:c r="B7" s="30" t="n">
        <x:v>1</x:v>
      </x:c>
      <x:c r="C7" s="30" t="n">
        <x:v>0</x:v>
      </x:c>
      <x:c r="D7" s="30" t="n">
        <x:v>50</x:v>
      </x:c>
      <x:c r="E7" s="30" t="n">
        <x:v>0</x:v>
      </x:c>
      <x:c r="F7" s="30" t="n">
        <x:v>10</x:v>
      </x:c>
      <x:c r="G7" s="30" t="n">
        <x:v>15</x:v>
      </x:c>
      <x:c r="H7" s="30" t="n">
        <x:v>10</x:v>
      </x:c>
      <x:c r="I7" s="30" t="n">
        <x:v>0</x:v>
      </x:c>
      <x:c r="J7" s="30" t="n">
        <x:v>0</x:v>
      </x:c>
      <x:c r="K7" s="30" t="n">
        <x:v>0</x:v>
      </x:c>
      <x:c r="L7" t="n">
        <x:v>0</x:v>
      </x:c>
      <x:c r="M7" t="n">
        <x:f>C7/18</x:f>
        <x:v>0</x:v>
      </x:c>
      <x:c r="N7" t="n">
        <x:f>D7/18</x:f>
        <x:v>2.7777777777777777</x:v>
      </x:c>
      <x:c r="O7" t="n">
        <x:f>E7/18</x:f>
        <x:v>0</x:v>
      </x:c>
      <x:c r="P7" t="n">
        <x:f>F7/18</x:f>
        <x:v>0.5555555555555556</x:v>
      </x:c>
      <x:c r="Q7" t="n">
        <x:f>G7/18</x:f>
        <x:v>0.8333333333333334</x:v>
      </x:c>
      <x:c r="R7" t="n">
        <x:f>H7/18</x:f>
        <x:v>0.5555555555555556</x:v>
      </x:c>
      <x:c r="S7" t="n">
        <x:f>I7/18</x:f>
        <x:v>0</x:v>
      </x:c>
      <x:c r="T7" t="n">
        <x:f>J7/18</x:f>
        <x:v>0</x:v>
      </x:c>
      <x:c r="U7" t="n">
        <x:f>K7/18</x:f>
        <x:v>0</x:v>
      </x:c>
      <x:c r="V7" t="n">
        <x:f>L7/18</x:f>
        <x:v>0</x:v>
      </x:c>
    </x:row>
    <x:row r="8">
      <x:c r="A8" s="30" t="str">
        <x:v>War Rival - Warrior House</x:v>
      </x:c>
      <x:c r="B8" s="30" t="n">
        <x:v>1</x:v>
      </x:c>
      <x:c r="C8" s="30" t="n">
        <x:v>0</x:v>
      </x:c>
      <x:c r="D8" s="30" t="n">
        <x:v>30</x:v>
      </x:c>
      <x:c r="E8" s="30" t="n">
        <x:v>0</x:v>
      </x:c>
      <x:c r="F8" s="30" t="n">
        <x:v>10</x:v>
      </x:c>
      <x:c r="G8" s="30" t="n">
        <x:v>0</x:v>
      </x:c>
      <x:c r="H8" s="30" t="n">
        <x:v>0</x:v>
      </x:c>
      <x:c r="I8" s="30" t="n">
        <x:v>5</x:v>
      </x:c>
      <x:c r="J8" s="30" t="n">
        <x:v>0</x:v>
      </x:c>
      <x:c r="K8" s="30" t="n">
        <x:v>0</x:v>
      </x:c>
      <x:c r="L8" t="n">
        <x:v>0</x:v>
      </x:c>
      <x:c r="M8" t="n">
        <x:f>C8/18</x:f>
        <x:v>0</x:v>
      </x:c>
      <x:c r="N8" t="n">
        <x:f>D8/18</x:f>
        <x:v>1.6666666666666667</x:v>
      </x:c>
      <x:c r="O8" t="n">
        <x:f>E8/18</x:f>
        <x:v>0</x:v>
      </x:c>
      <x:c r="P8" t="n">
        <x:f>F8/18</x:f>
        <x:v>0.5555555555555556</x:v>
      </x:c>
      <x:c r="Q8" t="n">
        <x:f>G8/18</x:f>
        <x:v>0</x:v>
      </x:c>
      <x:c r="R8" t="n">
        <x:f>H8/18</x:f>
        <x:v>0</x:v>
      </x:c>
      <x:c r="S8" t="n">
        <x:f>I8/18</x:f>
        <x:v>0.2777777777777778</x:v>
      </x:c>
      <x:c r="T8" t="n">
        <x:f>J8/18</x:f>
        <x:v>0</x:v>
      </x:c>
      <x:c r="U8" t="n">
        <x:f>K8/18</x:f>
        <x:v>0</x:v>
      </x:c>
      <x:c r="V8" t="n">
        <x:f>L8/18</x:f>
        <x:v>0</x:v>
      </x:c>
    </x:row>
    <x:row r="9">
      <x:c r="A9" s="30" t="str">
        <x:v>Cunning Rival - Cloth Workshop</x:v>
      </x:c>
      <x:c r="B9" s="30" t="n">
        <x:v>1</x:v>
      </x:c>
      <x:c r="C9" s="30" t="n">
        <x:v>0</x:v>
      </x:c>
      <x:c r="D9" s="30" t="n">
        <x:v>40</x:v>
      </x:c>
      <x:c r="E9" s="30" t="n">
        <x:v>20</x:v>
      </x:c>
      <x:c r="F9" s="30" t="n">
        <x:v>0</x:v>
      </x:c>
      <x:c r="G9" s="30" t="n">
        <x:v>10</x:v>
      </x:c>
      <x:c r="H9" s="30" t="n">
        <x:v>0</x:v>
      </x:c>
      <x:c r="I9" s="30" t="n">
        <x:v>0</x:v>
      </x:c>
      <x:c r="J9" s="30" t="n">
        <x:v>0</x:v>
      </x:c>
      <x:c r="K9" s="30" t="n">
        <x:v>0</x:v>
      </x:c>
      <x:c r="L9" t="n">
        <x:v>0</x:v>
      </x:c>
      <x:c r="M9" t="n">
        <x:f>C9/18</x:f>
        <x:v>0</x:v>
      </x:c>
      <x:c r="N9" t="n">
        <x:f>D9/18</x:f>
        <x:v>2.2222222222222223</x:v>
      </x:c>
      <x:c r="O9" t="n">
        <x:f>E9/18</x:f>
        <x:v>1.1111111111111112</x:v>
      </x:c>
      <x:c r="P9" t="n">
        <x:f>F9/18</x:f>
        <x:v>0</x:v>
      </x:c>
      <x:c r="Q9" t="n">
        <x:f>G9/18</x:f>
        <x:v>0.5555555555555556</x:v>
      </x:c>
      <x:c r="R9" t="n">
        <x:f>H9/18</x:f>
        <x:v>0</x:v>
      </x:c>
      <x:c r="S9" t="n">
        <x:f>I9/18</x:f>
        <x:v>0</x:v>
      </x:c>
      <x:c r="T9" t="n">
        <x:f>J9/18</x:f>
        <x:v>0</x:v>
      </x:c>
      <x:c r="U9" t="n">
        <x:f>K9/18</x:f>
        <x:v>0</x:v>
      </x:c>
      <x:c r="V9" t="n">
        <x:f>L9/18</x:f>
        <x:v>0</x:v>
      </x:c>
    </x:row>
    <x:row r="10">
      <x:c r="A10" s="30" t="str">
        <x:v>Cunning Rival - Commoner Housing</x:v>
      </x:c>
      <x:c r="B10" s="30" t="n">
        <x:v>1</x:v>
      </x:c>
      <x:c r="C10" s="30" t="n">
        <x:v>0</x:v>
      </x:c>
      <x:c r="D10" s="30" t="n">
        <x:v>40</x:v>
      </x:c>
      <x:c r="E10" s="30" t="n">
        <x:v>0</x:v>
      </x:c>
      <x:c r="F10" s="30" t="n">
        <x:v>10</x:v>
      </x:c>
      <x:c r="G10" s="30" t="n">
        <x:v>0</x:v>
      </x:c>
      <x:c r="H10" s="30" t="n">
        <x:v>0</x:v>
      </x:c>
      <x:c r="I10" s="30" t="n">
        <x:v>0</x:v>
      </x:c>
      <x:c r="J10" s="30" t="n">
        <x:v>0</x:v>
      </x:c>
      <x:c r="K10" s="30" t="n">
        <x:v>0</x:v>
      </x:c>
      <x:c r="L10" t="n">
        <x:v>0</x:v>
      </x:c>
      <x:c r="M10" t="n">
        <x:f>C10/18</x:f>
        <x:v>0</x:v>
      </x:c>
      <x:c r="N10" t="n">
        <x:f>D10/18</x:f>
        <x:v>2.2222222222222223</x:v>
      </x:c>
      <x:c r="O10" t="n">
        <x:f>E10/18</x:f>
        <x:v>0</x:v>
      </x:c>
      <x:c r="P10" t="n">
        <x:f>F10/18</x:f>
        <x:v>0.5555555555555556</x:v>
      </x:c>
      <x:c r="Q10" t="n">
        <x:f>G10/18</x:f>
        <x:v>0</x:v>
      </x:c>
      <x:c r="R10" t="n">
        <x:f>H10/18</x:f>
        <x:v>0</x:v>
      </x:c>
      <x:c r="S10" t="n">
        <x:f>I10/18</x:f>
        <x:v>0</x:v>
      </x:c>
      <x:c r="T10" t="n">
        <x:f>J10/18</x:f>
        <x:v>0</x:v>
      </x:c>
      <x:c r="U10" t="n">
        <x:f>K10/18</x:f>
        <x:v>0</x:v>
      </x:c>
      <x:c r="V10" t="n">
        <x:f>L10/18</x:f>
        <x:v>0</x:v>
      </x:c>
    </x:row>
    <x:row r="11">
      <x:c r="A11" s="30" t="str">
        <x:v>Diplomatic Rival - Ritual Workshop</x:v>
      </x:c>
      <x:c r="B11" s="30" t="n">
        <x:v>1</x:v>
      </x:c>
      <x:c r="C11" s="30" t="n">
        <x:v>0</x:v>
      </x:c>
      <x:c r="D11" s="30" t="n">
        <x:v>30</x:v>
      </x:c>
      <x:c r="E11" s="30" t="n">
        <x:v>0</x:v>
      </x:c>
      <x:c r="F11" s="30" t="n">
        <x:v>10</x:v>
      </x:c>
      <x:c r="G11" s="30" t="n">
        <x:v>10</x:v>
      </x:c>
      <x:c r="H11" s="30" t="n">
        <x:v>0</x:v>
      </x:c>
      <x:c r="I11" s="30" t="n">
        <x:v>0</x:v>
      </x:c>
      <x:c r="J11" s="30" t="n">
        <x:v>0</x:v>
      </x:c>
      <x:c r="K11" s="30" t="n">
        <x:v>3</x:v>
      </x:c>
      <x:c r="L11" t="n">
        <x:v>0</x:v>
      </x:c>
      <x:c r="M11" t="n">
        <x:f>C11/18</x:f>
        <x:v>0</x:v>
      </x:c>
      <x:c r="N11" t="n">
        <x:f>D11/18</x:f>
        <x:v>1.6666666666666667</x:v>
      </x:c>
      <x:c r="O11" t="n">
        <x:f>E11/18</x:f>
        <x:v>0</x:v>
      </x:c>
      <x:c r="P11" t="n">
        <x:f>F11/18</x:f>
        <x:v>0.5555555555555556</x:v>
      </x:c>
      <x:c r="Q11" t="n">
        <x:f>G11/18</x:f>
        <x:v>0.5555555555555556</x:v>
      </x:c>
      <x:c r="R11" t="n">
        <x:f>H11/18</x:f>
        <x:v>0</x:v>
      </x:c>
      <x:c r="S11" t="n">
        <x:f>I11/18</x:f>
        <x:v>0</x:v>
      </x:c>
      <x:c r="T11" t="n">
        <x:f>J11/18</x:f>
        <x:v>0</x:v>
      </x:c>
      <x:c r="U11" t="n">
        <x:f>K11/18</x:f>
        <x:v>0.16666666666666666</x:v>
      </x:c>
      <x:c r="V11" t="n">
        <x:f>L11/18</x:f>
        <x:v>0</x:v>
      </x:c>
    </x:row>
    <x:row r="12">
      <x:c r="A12" s="30" t="str">
        <x:v>Diplomatic Rival - Priest/Noble Housing</x:v>
      </x:c>
      <x:c r="B12" s="30" t="n">
        <x:v>1</x:v>
      </x:c>
      <x:c r="C12" s="30" t="n">
        <x:v>0</x:v>
      </x:c>
      <x:c r="D12" s="30" t="n">
        <x:v>45</x:v>
      </x:c>
      <x:c r="E12" s="30" t="n">
        <x:v>0</x:v>
      </x:c>
      <x:c r="F12" s="30" t="n">
        <x:v>15</x:v>
      </x:c>
      <x:c r="G12" s="30" t="n">
        <x:v>0</x:v>
      </x:c>
      <x:c r="H12" s="30" t="n">
        <x:v>0</x:v>
      </x:c>
      <x:c r="I12" s="30" t="n">
        <x:v>0</x:v>
      </x:c>
      <x:c r="J12" s="30" t="n">
        <x:v>2</x:v>
      </x:c>
      <x:c r="K12" s="30" t="n">
        <x:v>3</x:v>
      </x:c>
      <x:c r="L12" t="n">
        <x:v>1</x:v>
      </x:c>
      <x:c r="M12" t="n">
        <x:f>C12/18</x:f>
        <x:v>0</x:v>
      </x:c>
      <x:c r="N12" t="n">
        <x:f>D12/18</x:f>
        <x:v>2.5</x:v>
      </x:c>
      <x:c r="O12" t="n">
        <x:f>E12/18</x:f>
        <x:v>0</x:v>
      </x:c>
      <x:c r="P12" t="n">
        <x:f>F12/18</x:f>
        <x:v>0.8333333333333334</x:v>
      </x:c>
      <x:c r="Q12" t="n">
        <x:f>G12/18</x:f>
        <x:v>0</x:v>
      </x:c>
      <x:c r="R12" t="n">
        <x:f>H12/18</x:f>
        <x:v>0</x:v>
      </x:c>
      <x:c r="S12" t="n">
        <x:f>I12/18</x:f>
        <x:v>0</x:v>
      </x:c>
      <x:c r="T12" t="n">
        <x:f>J12/18</x:f>
        <x:v>0.1111111111111111</x:v>
      </x:c>
      <x:c r="U12" t="n">
        <x:f>K12/18</x:f>
        <x:v>0.16666666666666666</x:v>
      </x:c>
      <x:c r="V12" t="n">
        <x:f>L12/18</x:f>
        <x:v>0.05555555555555555</x:v>
      </x:c>
    </x:row>
    <x:row r="13">
      <x:c r="A13" s="18" t="str">
        <x:v>Total annual construction demand</x:v>
      </x:c>
      <x:c r="B13" s="18" t="str"/>
      <x:c r="C13" s="18" t="n">
        <x:f>SUMPRODUCT($B$5:$B$12,C$5:C$12)</x:f>
        <x:v>0</x:v>
      </x:c>
      <x:c r="D13" s="18" t="n">
        <x:f>SUMPRODUCT($B$5:$B$12,D$5:D$12)</x:f>
        <x:v>315</x:v>
      </x:c>
      <x:c r="E13" s="18" t="n">
        <x:f>SUMPRODUCT($B$5:$B$12,E$5:E$12)</x:f>
        <x:v>40</x:v>
      </x:c>
      <x:c r="F13" s="18" t="n">
        <x:f>SUMPRODUCT($B$5:$B$12,F$5:F$12)</x:f>
        <x:v>65</x:v>
      </x:c>
      <x:c r="G13" s="18" t="n">
        <x:f>SUMPRODUCT($B$5:$B$12,G$5:G$12)</x:f>
        <x:v>45</x:v>
      </x:c>
      <x:c r="H13" s="18" t="n">
        <x:f>SUMPRODUCT($B$5:$B$12,H$5:H$12)</x:f>
        <x:v>10</x:v>
      </x:c>
      <x:c r="I13" s="18" t="n">
        <x:f>SUMPRODUCT($B$5:$B$12,I$5:I$12)</x:f>
        <x:v>5</x:v>
      </x:c>
      <x:c r="J13" s="18" t="n">
        <x:f>SUMPRODUCT($B$5:$B$12,J$5:J$12)</x:f>
        <x:v>2</x:v>
      </x:c>
      <x:c r="K13" s="18" t="n">
        <x:f>SUMPRODUCT($B$5:$B$12,K$5:K$12)</x:f>
        <x:v>6</x:v>
      </x:c>
      <x:c r="L13" s="18" t="n">
        <x:f>SUMPRODUCT($B$5:$B$12,L$5:L$12)</x:f>
        <x:v>1</x:v>
      </x:c>
      <x:c r="M13" s="18" t="n">
        <x:f>SUM(M5:M12)</x:f>
        <x:v>0</x:v>
      </x:c>
      <x:c r="N13" s="18" t="n">
        <x:f>SUM(N5:N12)</x:f>
        <x:v>17.5</x:v>
      </x:c>
      <x:c r="O13" s="18" t="n">
        <x:f>SUM(O5:O12)</x:f>
        <x:v>2.2222222222222223</x:v>
      </x:c>
      <x:c r="P13" s="18" t="n">
        <x:f>SUM(P5:P12)</x:f>
        <x:v>3.611111111111111</x:v>
      </x:c>
      <x:c r="Q13" s="18" t="n">
        <x:f>SUM(Q5:Q12)</x:f>
        <x:v>2.5</x:v>
      </x:c>
      <x:c r="R13" s="18" t="n">
        <x:f>SUM(R5:R12)</x:f>
        <x:v>0.5555555555555556</x:v>
      </x:c>
      <x:c r="S13" s="18" t="n">
        <x:f>SUM(S5:S12)</x:f>
        <x:v>0.2777777777777778</x:v>
      </x:c>
      <x:c r="T13" s="18" t="n">
        <x:f>SUM(T5:T12)</x:f>
        <x:v>0.1111111111111111</x:v>
      </x:c>
      <x:c r="U13" s="18" t="n">
        <x:f>SUM(U5:U12)</x:f>
        <x:v>0.3333333333333333</x:v>
      </x:c>
      <x:c r="V13" s="18" t="n">
        <x:f>SUM(V5:V12)</x:f>
        <x:v>0.05555555555555555</x:v>
      </x:c>
    </x:row>
    <x:row r="14">
      <x:c r="A14" s="18" t="str">
        <x:v>Construction demand per Veintena</x:v>
      </x:c>
      <x:c r="B14" s="18" t="str"/>
      <x:c r="C14" s="18" t="n">
        <x:f>C13/18</x:f>
        <x:v>0</x:v>
      </x:c>
      <x:c r="D14" s="18" t="n">
        <x:f>D13/18</x:f>
        <x:v>17.5</x:v>
      </x:c>
      <x:c r="E14" s="18" t="n">
        <x:f>E13/18</x:f>
        <x:v>2.2222222222222223</x:v>
      </x:c>
      <x:c r="F14" s="18" t="n">
        <x:f>F13/18</x:f>
        <x:v>3.611111111111111</x:v>
      </x:c>
      <x:c r="G14" s="18" t="n">
        <x:f>G13/18</x:f>
        <x:v>2.5</x:v>
      </x:c>
      <x:c r="H14" s="18" t="n">
        <x:f>H13/18</x:f>
        <x:v>0.5555555555555556</x:v>
      </x:c>
      <x:c r="I14" s="18" t="n">
        <x:f>I13/18</x:f>
        <x:v>0.2777777777777778</x:v>
      </x:c>
      <x:c r="J14" s="18" t="n">
        <x:f>J13/18</x:f>
        <x:v>0.1111111111111111</x:v>
      </x:c>
      <x:c r="K14" s="18" t="n">
        <x:f>K13/18</x:f>
        <x:v>0.3333333333333333</x:v>
      </x:c>
      <x:c r="L14" s="18" t="n">
        <x:f>L13/18</x:f>
        <x:v>0.05555555555555555</x:v>
      </x:c>
      <x:c r="M14" s="18" t="n">
        <x:f>M13</x:f>
        <x:v>0</x:v>
      </x:c>
      <x:c r="N14" s="18" t="n">
        <x:f>N13</x:f>
        <x:v>17.5</x:v>
      </x:c>
      <x:c r="O14" s="18" t="n">
        <x:f>O13</x:f>
        <x:v>2.2222222222222223</x:v>
      </x:c>
      <x:c r="P14" s="18" t="n">
        <x:f>P13</x:f>
        <x:v>3.611111111111111</x:v>
      </x:c>
      <x:c r="Q14" s="18" t="n">
        <x:f>Q13</x:f>
        <x:v>2.5</x:v>
      </x:c>
      <x:c r="R14" s="18" t="n">
        <x:f>R13</x:f>
        <x:v>0.5555555555555556</x:v>
      </x:c>
      <x:c r="S14" s="18" t="n">
        <x:f>S13</x:f>
        <x:v>0.2777777777777778</x:v>
      </x:c>
      <x:c r="T14" s="18" t="n">
        <x:f>T13</x:f>
        <x:v>0.1111111111111111</x:v>
      </x:c>
      <x:c r="U14" s="18" t="n">
        <x:f>U13</x:f>
        <x:v>0.3333333333333333</x:v>
      </x:c>
      <x:c r="V14" s="18" t="n">
        <x:f>V13</x:f>
        <x:v>0.05555555555555555</x:v>
      </x:c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</x:sheetData>
  <x:mergeCells>
    <x:mergeCell ref="A2:K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42" hidden="0" customWidth="1"/>
  </x:cols>
  <x:sheetData>
    <x:row r="1">
      <x:c r="A1" s="34" t="str">
        <x:v>Prototype 0 Balance Baseline v0.6 — Maize + Cloth Capacity Pass</x:v>
      </x:c>
      <x:c r="B1" s="36"/>
      <x:c r="C1" s="36"/>
      <x:c r="D1" s="36"/>
      <x:c r="E1" s="36"/>
      <x:c r="F1" s="36"/>
      <x:c r="G1" s="36"/>
      <x:c r="H1" s="36"/>
      <x:c r="I1" s="36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3">
      <x:c r="A3" s="8" t="str">
        <x:v>Good</x:v>
      </x:c>
      <x:c r="B3" s="8" t="str">
        <x:v>Population upkeep</x:v>
      </x:c>
      <x:c r="C3" s="8" t="str">
        <x:v>Village building input demand</x:v>
      </x:c>
      <x:c r="D3" s="8" t="str">
        <x:v>Village production</x:v>
      </x:c>
      <x:c r="E3" s="8" t="str">
        <x:v>Starter estate tool input</x:v>
      </x:c>
      <x:c r="F3" s="8" t="str">
        <x:v>Starter estate tool output</x:v>
      </x:c>
      <x:c r="G3" s="8" t="str">
        <x:v>Year 1 construction demand / turn</x:v>
      </x:c>
      <x:c r="H3" s="8" t="str">
        <x:v>Final net / turn</x:v>
      </x:c>
      <x:c r="I3" s="8" t="str">
        <x:v>18-turn impact</x:v>
      </x:c>
      <x:c r="J3" s="8" t="str">
        <x:v>Market read</x:v>
      </x:c>
      <x:c r="K3" s="8" t="str">
        <x:v>Design role</x:v>
      </x:c>
    </x:row>
    <x:row r="4">
      <x:c r="A4" t="str">
        <x:v>Maize</x:v>
      </x:c>
      <x:c r="B4" t="n">
        <x:f>'Status Upkeep'!M$11</x:f>
        <x:v>982.5</x:v>
      </x:c>
      <x:c r="C4" t="n">
        <x:f>'Village Buildings'!D$14</x:f>
        <x:v>0</x:v>
      </x:c>
      <x:c r="D4" t="n">
        <x:f>'Village Buildings'!N$14</x:f>
        <x:v>1020</x:v>
      </x:c>
      <x:c r="E4" t="n">
        <x:f>'Starter Estate Tools'!C$8</x:f>
        <x:v>0</x:v>
      </x:c>
      <x:c r="F4" t="n">
        <x:f>'Starter Estate Tools'!M$8</x:f>
        <x:v>0</x:v>
      </x:c>
      <x:c r="G4" t="n">
        <x:f>'Construction Demand'!C$14</x:f>
        <x:v>0</x:v>
      </x:c>
      <x:c r="H4" t="n">
        <x:f>D4+F4-B4-C4-E4-G4</x:f>
        <x:v>37.5</x:v>
      </x:c>
      <x:c r="I4" t="n">
        <x:f>H4*18</x:f>
        <x:v>675</x:v>
      </x:c>
      <x:c r="J4" t="str">
        <x:f>IF(H4&gt;5,"Surplus",IF(H4&lt;-5,"Deficit","Balanced"))</x:f>
        <x:v>Surplus</x:v>
      </x:c>
      <x:c r="K4" t="str">
        <x:v>Core food pressure; player maize surplus should matter.</x:v>
      </x:c>
    </x:row>
    <x:row r="5">
      <x:c r="A5" t="str">
        <x:v>Wood</x:v>
      </x:c>
      <x:c r="B5" t="n">
        <x:f>'Status Upkeep'!N$11</x:f>
        <x:v>0</x:v>
      </x:c>
      <x:c r="C5" t="n">
        <x:f>'Village Buildings'!E$14</x:f>
        <x:v>115</x:v>
      </x:c>
      <x:c r="D5" t="n">
        <x:f>'Village Buildings'!O$14</x:f>
        <x:v>210</x:v>
      </x:c>
      <x:c r="E5" t="n">
        <x:f>'Starter Estate Tools'!D$8</x:f>
        <x:v>50</x:v>
      </x:c>
      <x:c r="F5" t="n">
        <x:f>'Starter Estate Tools'!N$8</x:f>
        <x:v>0</x:v>
      </x:c>
      <x:c r="G5" t="n">
        <x:f>'Construction Demand'!D$14</x:f>
        <x:v>17.5</x:v>
      </x:c>
      <x:c r="H5" t="n">
        <x:f>D5+F5-B5-C5-E5-G5</x:f>
        <x:v>27.5</x:v>
      </x:c>
      <x:c r="I5" t="n">
        <x:f>H5*18</x:f>
        <x:v>495</x:v>
      </x:c>
      <x:c r="J5" t="str">
        <x:f>IF(H5&gt;5,"Surplus",IF(H5&lt;-5,"Deficit","Balanced"))</x:f>
        <x:v>Surplus</x:v>
      </x:c>
      <x:c r="K5" t="str">
        <x:v>Construction and tool-chain input; surplus is useful if buildings consume it.</x:v>
      </x:c>
    </x:row>
    <x:row r="6">
      <x:c r="A6" t="str">
        <x:v>Cotton</x:v>
      </x:c>
      <x:c r="B6" t="n">
        <x:f>'Status Upkeep'!O$11</x:f>
        <x:v>48.25</x:v>
      </x:c>
      <x:c r="C6" t="n">
        <x:f>'Village Buildings'!F$14</x:f>
        <x:v>175</x:v>
      </x:c>
      <x:c r="D6" t="n">
        <x:f>'Village Buildings'!P$14</x:f>
        <x:v>240</x:v>
      </x:c>
      <x:c r="E6" t="n">
        <x:f>'Starter Estate Tools'!E$8</x:f>
        <x:v>0</x:v>
      </x:c>
      <x:c r="F6" t="n">
        <x:f>'Starter Estate Tools'!O$8</x:f>
        <x:v>0</x:v>
      </x:c>
      <x:c r="G6" t="n">
        <x:f>'Construction Demand'!E$14</x:f>
        <x:v>2.2222222222222223</x:v>
      </x:c>
      <x:c r="H6" t="n">
        <x:f>D6+F6-B6-C6-E6-G6</x:f>
        <x:v>14.527777777777779</x:v>
      </x:c>
      <x:c r="I6" t="n">
        <x:f>H6*18</x:f>
        <x:v>261.5</x:v>
      </x:c>
      <x:c r="J6" t="str">
        <x:f>IF(H6&gt;5,"Surplus",IF(H6&lt;-5,"Deficit","Balanced"))</x:f>
        <x:v>Surplus</x:v>
      </x:c>
      <x:c r="K6" t="str">
        <x:v>Textile-chain input and low-status upkeep; should remain useful surplus.</x:v>
      </x:c>
    </x:row>
    <x:row r="7">
      <x:c r="A7" t="str">
        <x:v>Cloth</x:v>
      </x:c>
      <x:c r="B7" t="n">
        <x:f>'Status Upkeep'!P$11</x:f>
        <x:v>211</x:v>
      </x:c>
      <x:c r="C7" t="n">
        <x:f>'Village Buildings'!G$14</x:f>
        <x:v>10</x:v>
      </x:c>
      <x:c r="D7" t="n">
        <x:f>'Village Buildings'!Q$14</x:f>
        <x:v>224</x:v>
      </x:c>
      <x:c r="E7" t="n">
        <x:f>'Starter Estate Tools'!F$8</x:f>
        <x:v>0</x:v>
      </x:c>
      <x:c r="F7" t="n">
        <x:f>'Starter Estate Tools'!P$8</x:f>
        <x:v>0</x:v>
      </x:c>
      <x:c r="G7" t="n">
        <x:f>'Construction Demand'!F$14</x:f>
        <x:v>3.611111111111111</x:v>
      </x:c>
      <x:c r="H7" t="n">
        <x:f>D7+F7-B7-C7-E7-G7</x:f>
        <x:v>-0.6111111111111112</x:v>
      </x:c>
      <x:c r="I7" t="n">
        <x:f>H7*18</x:f>
        <x:v>-11</x:v>
      </x:c>
      <x:c r="J7" t="str">
        <x:f>IF(H7&gt;5,"Surplus",IF(H7&lt;-5,"Deficit","Balanced"))</x:f>
        <x:v>Balanced</x:v>
      </x:c>
      <x:c r="K7" t="str">
        <x:v>Broad social upkeep and construction bottleneck.</x:v>
      </x:c>
    </x:row>
    <x:row r="8">
      <x:c r="A8" t="str">
        <x:v>Tools</x:v>
      </x:c>
      <x:c r="B8" t="n">
        <x:f>'Status Upkeep'!Q$11</x:f>
        <x:v>106</x:v>
      </x:c>
      <x:c r="C8" t="n">
        <x:f>'Village Buildings'!H$14</x:f>
        <x:v>20</x:v>
      </x:c>
      <x:c r="D8" t="n">
        <x:f>'Village Buildings'!R$14</x:f>
        <x:v>90</x:v>
      </x:c>
      <x:c r="E8" t="n">
        <x:f>'Starter Estate Tools'!G$8</x:f>
        <x:v>0</x:v>
      </x:c>
      <x:c r="F8" t="n">
        <x:f>'Starter Estate Tools'!Q$8</x:f>
        <x:v>40</x:v>
      </x:c>
      <x:c r="G8" t="n">
        <x:f>'Construction Demand'!G$14</x:f>
        <x:v>2.5</x:v>
      </x:c>
      <x:c r="H8" t="n">
        <x:f>D8+F8-B8-C8-E8-G8</x:f>
        <x:v>1.5</x:v>
      </x:c>
      <x:c r="I8" t="n">
        <x:f>H8*18</x:f>
        <x:v>27</x:v>
      </x:c>
      <x:c r="J8" t="str">
        <x:f>IF(H8&gt;5,"Surplus",IF(H8&lt;-5,"Deficit","Balanced"))</x:f>
        <x:v>Balanced</x:v>
      </x:c>
      <x:c r="K8" t="str">
        <x:v>Hinge good for production/building; should be near-balanced, not paralysing.</x:v>
      </x:c>
    </x:row>
    <x:row r="9">
      <x:c r="A9" t="str">
        <x:v>Obsidian</x:v>
      </x:c>
      <x:c r="B9" t="n">
        <x:f>'Status Upkeep'!R$11</x:f>
        <x:v>0</x:v>
      </x:c>
      <x:c r="C9" t="n">
        <x:f>'Village Buildings'!I$14</x:f>
        <x:v>10</x:v>
      </x:c>
      <x:c r="D9" t="n">
        <x:f>'Village Buildings'!S$14</x:f>
        <x:v>14</x:v>
      </x:c>
      <x:c r="E9" t="n">
        <x:f>'Starter Estate Tools'!H$8</x:f>
        <x:v>0</x:v>
      </x:c>
      <x:c r="F9" t="n">
        <x:f>'Starter Estate Tools'!R$8</x:f>
        <x:v>0</x:v>
      </x:c>
      <x:c r="G9" t="n">
        <x:f>'Construction Demand'!H$14</x:f>
        <x:v>0.5555555555555556</x:v>
      </x:c>
      <x:c r="H9" t="n">
        <x:f>D9+F9-B9-C9-E9-G9</x:f>
        <x:v>3.4444444444444446</x:v>
      </x:c>
      <x:c r="I9" t="n">
        <x:f>H9*18</x:f>
        <x:v>62</x:v>
      </x:c>
      <x:c r="J9" t="str">
        <x:f>IF(H9&gt;5,"Surplus",IF(H9&lt;-5,"Deficit","Balanced"))</x:f>
        <x:v>Balanced</x:v>
      </x:c>
      <x:c r="K9" t="str">
        <x:v>War/tool-chain input; can have surplus if war construction consumes it.</x:v>
      </x:c>
    </x:row>
    <x:row r="10">
      <x:c r="A10" t="str">
        <x:v>Weapons</x:v>
      </x:c>
      <x:c r="B10" t="n">
        <x:f>'Status Upkeep'!S$11</x:f>
        <x:v>10</x:v>
      </x:c>
      <x:c r="C10" t="n">
        <x:f>'Village Buildings'!J$14</x:f>
        <x:v>0</x:v>
      </x:c>
      <x:c r="D10" t="n">
        <x:f>'Village Buildings'!T$14</x:f>
        <x:v>8</x:v>
      </x:c>
      <x:c r="E10" t="n">
        <x:f>'Starter Estate Tools'!I$8</x:f>
        <x:v>0</x:v>
      </x:c>
      <x:c r="F10" t="n">
        <x:f>'Starter Estate Tools'!S$8</x:f>
        <x:v>0</x:v>
      </x:c>
      <x:c r="G10" t="n">
        <x:f>'Construction Demand'!I$14</x:f>
        <x:v>0.2777777777777778</x:v>
      </x:c>
      <x:c r="H10" t="n">
        <x:f>D10+F10-B10-C10-E10-G10</x:f>
        <x:v>-2.2777777777777777</x:v>
      </x:c>
      <x:c r="I10" t="n">
        <x:f>H10*18</x:f>
        <x:v>-41</x:v>
      </x:c>
      <x:c r="J10" t="str">
        <x:f>IF(H10&gt;5,"Surplus",IF(H10&lt;-5,"Deficit","Balanced"))</x:f>
        <x:v>Balanced</x:v>
      </x:c>
      <x:c r="K10" t="str">
        <x:v>Flower Wars bottleneck.</x:v>
      </x:c>
    </x:row>
    <x:row r="11">
      <x:c r="A11" t="str">
        <x:v>Ritual goods</x:v>
      </x:c>
      <x:c r="B11" t="n">
        <x:f>'Status Upkeep'!T$11</x:f>
        <x:v>6</x:v>
      </x:c>
      <x:c r="C11" t="n">
        <x:f>'Village Buildings'!K$14</x:f>
        <x:v>0</x:v>
      </x:c>
      <x:c r="D11" t="n">
        <x:f>'Village Buildings'!U$14</x:f>
        <x:v>6</x:v>
      </x:c>
      <x:c r="E11" t="n">
        <x:f>'Starter Estate Tools'!J$8</x:f>
        <x:v>0</x:v>
      </x:c>
      <x:c r="F11" t="n">
        <x:f>'Starter Estate Tools'!T$8</x:f>
        <x:v>0</x:v>
      </x:c>
      <x:c r="G11" t="n">
        <x:f>'Construction Demand'!J$14</x:f>
        <x:v>0.1111111111111111</x:v>
      </x:c>
      <x:c r="H11" t="n">
        <x:f>D11+F11-B11-C11-E11-G11</x:f>
        <x:v>-0.1111111111111111</x:v>
      </x:c>
      <x:c r="I11" t="n">
        <x:f>H11*18</x:f>
        <x:v>-2</x:v>
      </x:c>
      <x:c r="J11" t="str">
        <x:f>IF(H11&gt;5,"Surplus",IF(H11&lt;-5,"Deficit","Balanced"))</x:f>
        <x:v>Balanced</x:v>
      </x:c>
      <x:c r="K11" t="str">
        <x:v>Offering/religion bottleneck; should be near-balanced or slight deficit.</x:v>
      </x:c>
    </x:row>
    <x:row r="12">
      <x:c r="A12" t="str">
        <x:v>Cacao</x:v>
      </x:c>
      <x:c r="B12" t="n">
        <x:f>'Status Upkeep'!U$11</x:f>
        <x:v>10.5</x:v>
      </x:c>
      <x:c r="C12" t="n">
        <x:f>'Village Buildings'!L$14</x:f>
        <x:v>2</x:v>
      </x:c>
      <x:c r="D12" t="n">
        <x:f>'Village Buildings'!V$14</x:f>
        <x:v>12</x:v>
      </x:c>
      <x:c r="E12" t="n">
        <x:f>'Starter Estate Tools'!K$8</x:f>
        <x:v>0</x:v>
      </x:c>
      <x:c r="F12" t="n">
        <x:f>'Starter Estate Tools'!U$8</x:f>
        <x:v>0</x:v>
      </x:c>
      <x:c r="G12" t="n">
        <x:f>'Construction Demand'!K$14</x:f>
        <x:v>0.3333333333333333</x:v>
      </x:c>
      <x:c r="H12" t="n">
        <x:f>D12+F12-B12-C12-E12-G12</x:f>
        <x:v>-0.8333333333333333</x:v>
      </x:c>
      <x:c r="I12" t="n">
        <x:f>H12*18</x:f>
        <x:v>-14.999999999999998</x:v>
      </x:c>
      <x:c r="J12" t="str">
        <x:f>IF(H12&gt;5,"Surplus",IF(H12&lt;-5,"Deficit","Balanced"))</x:f>
        <x:v>Balanced</x:v>
      </x:c>
      <x:c r="K12" t="str">
        <x:v>Status/religion/barter pressure; slight deficit is desirable.</x:v>
      </x:c>
    </x:row>
    <x:row r="13">
      <x:c r="A13" t="str">
        <x:v>Fine textiles</x:v>
      </x:c>
      <x:c r="B13" t="n">
        <x:f>'Status Upkeep'!V$11</x:f>
        <x:v>4</x:v>
      </x:c>
      <x:c r="C13" t="n">
        <x:f>'Village Buildings'!M$14</x:f>
        <x:v>0</x:v>
      </x:c>
      <x:c r="D13" t="n">
        <x:f>'Village Buildings'!W$14</x:f>
        <x:v>3</x:v>
      </x:c>
      <x:c r="E13" t="n">
        <x:f>'Starter Estate Tools'!L$8</x:f>
        <x:v>0</x:v>
      </x:c>
      <x:c r="F13" t="n">
        <x:f>'Starter Estate Tools'!V$8</x:f>
        <x:v>0</x:v>
      </x:c>
      <x:c r="G13" t="n">
        <x:f>'Construction Demand'!L$14</x:f>
        <x:v>0.05555555555555555</x:v>
      </x:c>
      <x:c r="H13" t="n">
        <x:f>D13+F13-B13-C13-E13-G13</x:f>
        <x:v>-1.0555555555555556</x:v>
      </x:c>
      <x:c r="I13" t="n">
        <x:f>H13*18</x:f>
        <x:v>-19</x:v>
      </x:c>
      <x:c r="J13" t="str">
        <x:f>IF(H13&gt;5,"Surplus",IF(H13&lt;-5,"Deficit","Balanced"))</x:f>
        <x:v>Balanced</x:v>
      </x:c>
      <x:c r="K13" t="str">
        <x:v>Elite/palace bottleneck; small deficit is desirable.</x:v>
      </x:c>
    </x:row>
  </x:sheetData>
  <x:conditionalFormatting sqref="H4:H13">
    <x:cfRule type="cellIs" dxfId="0" priority="1" operator="lessThan">
      <x:formula>0</x:formula>
    </x:cfRule>
    <x:cfRule type="cellIs" dxfId="1" priority="2" operator="greaterThan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0.29999923706055" hidden="0" customWidth="1"/>
    <x:col min="2" max="2" width="95.83000183105469" hidden="0" customWidth="1"/>
  </x:cols>
  <x:sheetData>
    <x:row r="1">
      <x:c r="A1" s="85" t="str">
        <x:v>Prototype 0 Balance Baseline v0.10 — Scaled Scarcity Pass</x:v>
      </x:c>
      <x:c r="B1" s="85" t="str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s="30" t="str">
        <x:v>Change</x:v>
      </x:c>
      <x:c r="B2" s="30" t="str">
        <x:v>Replaces hard scarcity multiplier steps with a continuous scarcity multiplier while keeping category labels for readability.</x:v>
      </x:c>
      <x:c r="C2" s="30"/>
      <x:c r="D2" s="30"/>
      <x:c r="E2" s="30"/>
      <x:c r="F2" s="30"/>
      <x:c r="G2" s="30"/>
      <x:c r="H2" s="30"/>
      <x:c r="I2" s="30"/>
      <x:c r="J2" s="30"/>
      <x:c r="K2" s="30"/>
    </x:row>
    <x:row r="3">
      <x:c r="A3" s="18" t="str">
        <x:v>Formula</x:v>
      </x:c>
      <x:c r="B3" s="30" t="str">
        <x:v>Multiplier = IF(Coverage&lt;=0,3,MAX(0.75,MIN(3,3/Coverage)))</x:v>
      </x:c>
      <x:c r="C3" s="30"/>
      <x:c r="D3" s="30"/>
      <x:c r="E3" s="30"/>
      <x:c r="F3" s="30"/>
      <x:c r="G3" s="30"/>
      <x:c r="H3" s="30"/>
      <x:c r="I3" s="30"/>
      <x:c r="J3" s="30"/>
      <x:c r="K3" s="30"/>
    </x:row>
    <x:row r="4">
      <x:c r="A4" s="18" t="str">
        <x:v>Coverage</x:v>
      </x:c>
      <x:c r="B4" s="30" t="str">
        <x:v>Coverage = projected end-year stockpile / demand per turn.</x:v>
      </x:c>
      <x:c r="C4" s="30"/>
      <x:c r="D4" s="30"/>
      <x:c r="E4" s="30"/>
      <x:c r="F4" s="30"/>
      <x:c r="G4" s="30"/>
      <x:c r="H4" s="30"/>
      <x:c r="I4" s="30"/>
      <x:c r="J4" s="30"/>
      <x:c r="K4" s="30"/>
    </x:row>
    <x:row r="5">
      <x:c r="A5" s="18" t="str">
        <x:v>Labels</x:v>
      </x:c>
      <x:c r="B5" s="30" t="str">
        <x:v>Abundant, Comfortable, Tight, Shortage and Crisis remain display labels only.</x:v>
      </x:c>
      <x:c r="C5" s="30"/>
      <x:c r="D5" s="30"/>
      <x:c r="E5" s="30"/>
      <x:c r="F5" s="30"/>
      <x:c r="G5" s="30"/>
      <x:c r="H5" s="30"/>
      <x:c r="I5" s="30"/>
      <x:c r="J5" s="30"/>
      <x:c r="K5" s="30"/>
    </x:row>
    <x:row r="6">
      <x:c r="A6" s="18" t="str">
        <x:v>Purpose</x:v>
      </x:c>
      <x:c r="B6" s="30" t="str">
        <x:v>Barter values now respond smoothly as reserves approach scarcity milestones.</x:v>
      </x:c>
      <x:c r="C6" s="30"/>
      <x:c r="D6" s="30"/>
      <x:c r="E6" s="30"/>
      <x:c r="F6" s="30"/>
      <x:c r="G6" s="30"/>
      <x:c r="H6" s="30"/>
      <x:c r="I6" s="30"/>
      <x:c r="J6" s="30"/>
      <x:c r="K6" s="30"/>
    </x:row>
    <x:row r="7">
      <x:c r="A7" s="30" t="str">
        <x:v>What this affects</x:v>
      </x:c>
      <x:c r="B7" s="30" t="str">
        <x:v>Base Values, Player Expansion Test and Strategy Summary costs.</x:v>
      </x:c>
      <x:c r="C7" s="30"/>
      <x:c r="D7" s="30"/>
      <x:c r="E7" s="30"/>
      <x:c r="F7" s="30"/>
      <x:c r="G7" s="30"/>
      <x:c r="H7" s="30"/>
      <x:c r="I7" s="30"/>
      <x:c r="J7" s="30"/>
      <x:c r="K7" s="30"/>
    </x:row>
    <x:row r="8">
      <x:c r="A8" s="30" t="str">
        <x:v>What this does not change</x:v>
      </x:c>
      <x:c r="B8" s="30" t="str">
        <x:v>Village production, upkeep, construction demand, building counts, rival identity or starting stockpiles.</x:v>
      </x:c>
      <x:c r="C8" s="30"/>
      <x:c r="D8" s="30"/>
      <x:c r="E8" s="30"/>
      <x:c r="F8" s="30"/>
      <x:c r="G8" s="30"/>
      <x:c r="H8" s="30"/>
      <x:c r="I8" s="30"/>
      <x:c r="J8" s="30"/>
      <x:c r="K8" s="30"/>
    </x:row>
    <x:row r="9">
      <x:c r="A9" s="30" t="str">
        <x:v>Interpretation</x:v>
      </x:c>
      <x:c r="B9" s="30" t="str">
        <x:v>Small changes in stockpile now create small changes in barter value rather than sudden jumps.</x:v>
      </x:c>
      <x:c r="C9" s="30"/>
      <x:c r="D9" s="30"/>
      <x:c r="E9" s="30"/>
      <x:c r="F9" s="30"/>
      <x:c r="G9" s="30"/>
      <x:c r="H9" s="30"/>
      <x:c r="I9" s="30"/>
      <x:c r="J9" s="30"/>
      <x:c r="K9" s="30"/>
    </x:row>
    <x:row r="10">
      <x:c r="A10" s="30" t="str"/>
      <x:c r="B10" s="30" t="str"/>
      <x:c r="C10" s="30"/>
      <x:c r="D10" s="30"/>
      <x:c r="E10" s="30"/>
      <x:c r="F10" s="30"/>
      <x:c r="G10" s="30"/>
      <x:c r="H10" s="30"/>
      <x:c r="I10" s="30"/>
      <x:c r="J10" s="30"/>
      <x:c r="K10" s="30"/>
    </x:row>
    <x:row r="11">
      <x:c r="A11" s="135" t="str">
        <x:v>v0.11 Rival Build Orders</x:v>
      </x:c>
      <x:c r="B11" s="30" t="str">
        <x:v>Adds objective-driven rival build order rules.</x:v>
      </x:c>
      <x:c r="C11" s="30"/>
      <x:c r="D11" s="30"/>
      <x:c r="E11" s="30"/>
      <x:c r="F11" s="30"/>
      <x:c r="G11" s="30"/>
      <x:c r="H11" s="30"/>
      <x:c r="I11" s="30"/>
      <x:c r="J11" s="30"/>
      <x:c r="K11" s="30"/>
    </x:row>
    <x:row r="12">
      <x:c r="A12" s="135" t="str">
        <x:v>Surplus rule</x:v>
      </x:c>
      <x:c r="B12" s="30" t="str">
        <x:v>Rivals only sell true surplus after upkeep, inputs, build reserves, safety buffer and personality hoards.</x:v>
      </x:c>
      <x:c r="C12" s="30"/>
      <x:c r="D12" s="30"/>
      <x:c r="E12" s="30"/>
      <x:c r="F12" s="30"/>
      <x:c r="G12" s="30"/>
      <x:c r="H12" s="30"/>
      <x:c r="I12" s="30"/>
      <x:c r="J12" s="30"/>
      <x:c r="K12" s="30"/>
    </x:row>
    <x:row r="13">
      <x:c r="A13" s="135" t="str">
        <x:v>Procurement rule</x:v>
      </x:c>
      <x:c r="B13" s="30" t="str">
        <x:v>Rivals buy missing goods needed for upkeep, active production, and current build-order targets.</x:v>
      </x:c>
      <x:c r="C13" s="30"/>
      <x:c r="D13" s="30"/>
      <x:c r="E13" s="30"/>
      <x:c r="F13" s="30"/>
      <x:c r="G13" s="30"/>
      <x:c r="H13" s="30"/>
      <x:c r="I13" s="30"/>
      <x:c r="J13" s="30"/>
      <x:c r="K13" s="30"/>
    </x:row>
    <x:row r="14">
      <x:c r="A14" s="135" t="str">
        <x:v>Rival identities</x:v>
      </x:c>
      <x:c r="B14" s="30" t="str">
        <x:v>War/Huitzilopochtli, Cunning/Tezcatlipoca, Diplomatic/Quetzalcoatl.</x:v>
      </x:c>
      <x:c r="C14" s="30"/>
      <x:c r="D14" s="30"/>
      <x:c r="E14" s="30"/>
      <x:c r="F14" s="30"/>
      <x:c r="G14" s="30"/>
      <x:c r="H14" s="30"/>
      <x:c r="I14" s="30"/>
      <x:c r="J14" s="30"/>
      <x:c r="K14" s="30"/>
    </x:row>
    <x:row r="15">
      <x:c r="A15" s="135" t="str">
        <x:v>Use</x:v>
      </x:c>
      <x:c r="B15" s="30" t="str">
        <x:v>Use this to drive first-year rival market effects before player strategy testing.</x:v>
      </x:c>
      <x:c r="C15" s="30"/>
      <x:c r="D15" s="30"/>
      <x:c r="E15" s="30"/>
      <x:c r="F15" s="30"/>
      <x:c r="G15" s="30"/>
      <x:c r="H15" s="30"/>
      <x:c r="I15" s="30"/>
      <x:c r="J15" s="30"/>
      <x:c r="K15" s="30"/>
    </x:row>
    <x:row r="16">
      <x:c r="A16" s="30" t="str">
        <x:v>v0.12 Rival Procurement + Support Step Pass</x:v>
      </x:c>
      <x:c r="B16" s="30" t="str">
        <x:v>Adds procurement intensity caps and minor support-step logic to rival build orders.</x:v>
      </x:c>
      <x:c r="C16" s="30"/>
      <x:c r="D16" s="30"/>
      <x:c r="E16" s="30"/>
      <x:c r="F16" s="30"/>
      <x:c r="G16" s="30"/>
      <x:c r="H16" s="30"/>
      <x:c r="I16" s="30"/>
      <x:c r="J16" s="30"/>
      <x:c r="K16" s="30"/>
    </x:row>
    <x:row r="17">
      <x:c r="A17" s="30" t="str">
        <x:v>War Rival</x:v>
      </x:c>
      <x:c r="B17" s="30" t="str">
        <x:v>Build order unchanged; remains Weapon Yard first with aggressive procurement for war goods.</x:v>
      </x:c>
      <x:c r="C17" s="30"/>
      <x:c r="D17" s="30"/>
      <x:c r="E17" s="30"/>
      <x:c r="F17" s="30"/>
      <x:c r="G17" s="30"/>
      <x:c r="H17" s="30"/>
      <x:c r="I17" s="30"/>
      <x:c r="J17" s="30"/>
      <x:c r="K17" s="30"/>
    </x:row>
    <x:row r="18">
      <x:c r="A18" s="30" t="str">
        <x:v>Cunning Rival</x:v>
      </x:c>
      <x:c r="B18" s="30" t="str">
        <x:v>Reframed as market-control and hidden leverage, not generic artisan production.</x:v>
      </x:c>
      <x:c r="C18" s="30"/>
      <x:c r="D18" s="30"/>
      <x:c r="E18" s="30"/>
      <x:c r="F18" s="30"/>
      <x:c r="G18" s="30"/>
      <x:c r="H18" s="30"/>
      <x:c r="I18" s="30"/>
      <x:c r="J18" s="30"/>
      <x:c r="K18" s="30"/>
    </x:row>
    <x:row r="19">
      <x:c r="A19" s="30" t="str">
        <x:v>Diplomatic Rival</x:v>
      </x:c>
      <x:c r="B19" s="30" t="str">
        <x:v>Fine Textile House moved before Noble Residence to foreground palace-facing goods.</x:v>
      </x:c>
      <x:c r="C19" s="30"/>
      <x:c r="D19" s="30"/>
      <x:c r="E19" s="30"/>
      <x:c r="F19" s="30"/>
      <x:c r="G19" s="30"/>
      <x:c r="H19" s="30"/>
      <x:c r="I19" s="30"/>
      <x:c r="J19" s="30"/>
      <x:c r="K19" s="30"/>
    </x:row>
    <x:row r="20">
      <x:c r="A20" s="30" t="str">
        <x:v>Procurement intensity</x:v>
      </x:c>
      <x:c r="B20" s="30" t="str">
        <x:v>Aggressive 60%, Steady 40%, Opportunistic 25% normally / 60% when favourable.</x:v>
      </x:c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>
      <x:c r="A21" s="30" t="str">
        <x:v>Minor support steps</x:v>
      </x:c>
      <x:c r="B21" s="30" t="str">
        <x:v>Rivals may complete smaller support steps if a major target is unaffordable.</x:v>
      </x:c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 t="str">
        <x:v>Use</x:v>
      </x:c>
      <x:c r="B22" s="30" t="str">
        <x:v>Use these rules before player opening tests so rival pressure is objective-driven.</x:v>
      </x:c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6.8800048828125" hidden="0" customWidth="1"/>
    <x:col min="2" max="2" width="32.439998626708984" hidden="0" customWidth="1"/>
    <x:col min="3" max="3" width="43.880001068115234" hidden="0" customWidth="1"/>
    <x:col min="4" max="4" width="17.5" hidden="0" customWidth="1"/>
    <x:col min="5" max="5" width="60.15999984741211" hidden="0" customWidth="1"/>
    <x:col min="6" max="6" width="55.04999923706055" hidden="0" customWidth="1"/>
    <x:col min="7" max="7" width="53.029998779296875" hidden="0" customWidth="1"/>
    <x:col min="8" max="8" width="67.69999694824219" hidden="0" customWidth="1"/>
    <x:col min="9" max="9" width="65.55000305175781" hidden="0" customWidth="1"/>
  </x:cols>
  <x:sheetData>
    <x:row r="1">
      <x:c r="A1" s="68" t="str">
        <x:v>Family Starting Position Comparison — v0.8 Rival Identity Pass</x:v>
      </x:c>
      <x:c r="B1" s="68"/>
      <x:c r="C1" s="68"/>
      <x:c r="D1" s="68"/>
      <x:c r="E1" s="68"/>
      <x:c r="F1" s="68"/>
      <x:c r="G1" s="68"/>
      <x:c r="H1" s="68"/>
      <x:c r="I1" s="71"/>
      <x:c r="J1" s="30"/>
      <x:c r="K1" s="30"/>
    </x:row>
    <x:row r="2">
      <x:c r="A2" s="70" t="str">
        <x:v>Qualitative comparison of the player estate and three rival houses using the corrected patron-god/personality framing. Scores are planning signals, not final balance values.</x:v>
      </x:c>
      <x:c r="B2" s="70"/>
      <x:c r="C2" s="70"/>
      <x:c r="D2" s="70"/>
      <x:c r="E2" s="70"/>
      <x:c r="F2" s="70"/>
      <x:c r="G2" s="70"/>
      <x:c r="H2" s="70"/>
      <x:c r="I2" s="71"/>
      <x:c r="J2" s="30"/>
      <x:c r="K2" s="30"/>
    </x:row>
    <x:row r="3">
      <x:c r="A3" s="71"/>
      <x:c r="B3" s="71"/>
      <x:c r="C3" s="71"/>
      <x:c r="D3" s="71"/>
      <x:c r="E3" s="71"/>
      <x:c r="F3" s="71"/>
      <x:c r="G3" s="71"/>
      <x:c r="H3" s="71"/>
      <x:c r="I3" s="71"/>
      <x:c r="J3" s="30"/>
      <x:c r="K3" s="30"/>
    </x:row>
    <x:row r="4">
      <x:c r="A4" s="68" t="str">
        <x:v>House</x:v>
      </x:c>
      <x:c r="B4" s="68" t="str">
        <x:v>Opening identity</x:v>
      </x:c>
      <x:c r="C4" s="68" t="str">
        <x:v>Starting economic edge</x:v>
      </x:c>
      <x:c r="D4" s="68" t="str">
        <x:v>Basic Tool Workshops</x:v>
      </x:c>
      <x:c r="E4" s="68" t="str">
        <x:v>Key surplus / advantage</x:v>
      </x:c>
      <x:c r="F4" s="68" t="str">
        <x:v>Key dependency</x:v>
      </x:c>
      <x:c r="G4" s="68" t="str">
        <x:v>First-year consolidation goal</x:v>
      </x:c>
      <x:c r="H4" s="68" t="str">
        <x:v>Market role</x:v>
      </x:c>
      <x:c r="I4" s="71"/>
      <x:c r="J4" s="30"/>
      <x:c r="K4" s="30"/>
    </x:row>
    <x:row r="5">
      <x:c r="A5" s="71" t="str">
        <x:v>Player Estate</x:v>
      </x:c>
      <x:c r="B5" s="71" t="str">
        <x:v>Blank-slate maize/cacao landholder</x:v>
      </x:c>
      <x:c r="C5" s="71" t="str">
        <x:v>Maize surplus + slight cacao surplus</x:v>
      </x:c>
      <x:c r="D5" s="71" t="n">
        <x:v>1</x:v>
      </x:c>
      <x:c r="E5" s="71" t="str">
        <x:v>Food/base barter</x:v>
      </x:c>
      <x:c r="F5" s="71" t="str">
        <x:v>Cloth, weapons, ritual goods, fine textiles, broader production chains</x:v>
      </x:c>
      <x:c r="G5" s="71" t="str">
        <x:v>Choose first production route through market/building investment</x:v>
      </x:c>
      <x:c r="H5" s="71" t="str">
        <x:v>Can relieve maize pressure and use cacao as a small status/barter good</x:v>
      </x:c>
      <x:c r="I5" s="71"/>
      <x:c r="J5" s="30"/>
      <x:c r="K5" s="30"/>
    </x:row>
    <x:row r="6">
      <x:c r="A6" s="71" t="str">
        <x:v>War Rival Estate</x:v>
      </x:c>
      <x:c r="B6" s="71" t="str">
        <x:v>Huitzilopochtli-aligned martial house</x:v>
      </x:c>
      <x:c r="C6" s="71" t="str">
        <x:v>Slight obsidian/war access; stronger warrior lean</x:v>
      </x:c>
      <x:c r="D6" s="71" t="n">
        <x:v>1</x:v>
      </x:c>
      <x:c r="E6" s="71" t="str">
        <x:v>Obsidian/war positioning</x:v>
      </x:c>
      <x:c r="F6" s="71" t="str">
        <x:v>Cloth, tools, weapons and maize upkeep for military expansion</x:v>
      </x:c>
      <x:c r="G6" s="71" t="str">
        <x:v>Consolidate Weapon Yard / war supply chain</x:v>
      </x:c>
      <x:c r="H6" s="71" t="str">
        <x:v>Should help solve war inputs while increasing pressure on cloth/tools/weapons</x:v>
      </x:c>
      <x:c r="I6" s="71"/>
      <x:c r="J6" s="30"/>
      <x:c r="K6" s="30"/>
    </x:row>
    <x:row r="7">
      <x:c r="A7" s="71" t="str">
        <x:v>Cunning Rival Estate</x:v>
      </x:c>
      <x:c r="B7" s="71" t="str">
        <x:v>Tezcatlipoca-aligned manipulation house</x:v>
      </x:c>
      <x:c r="C7" s="71" t="str">
        <x:v>Extra Basic Tool Workshop and flexible market leverage</x:v>
      </x:c>
      <x:c r="D7" s="71" t="n">
        <x:v>2</x:v>
      </x:c>
      <x:c r="E7" s="71" t="str">
        <x:v>Tools and craft conversion</x:v>
      </x:c>
      <x:c r="F7" s="71" t="str">
        <x:v>Cotton, wood, cloth and cacao inputs</x:v>
      </x:c>
      <x:c r="G7" s="71" t="str">
        <x:v>Consolidate flexible tool/cloth leverage</x:v>
      </x:c>
      <x:c r="H7" s="71" t="str">
        <x:v>Should manipulate practical bottlenecks and later support sabotage/market pressure</x:v>
      </x:c>
      <x:c r="I7" s="71"/>
      <x:c r="J7" s="30"/>
      <x:c r="K7" s="30"/>
    </x:row>
    <x:row r="8">
      <x:c r="A8" s="71" t="str">
        <x:v>Diplomatic Rival Estate</x:v>
      </x:c>
      <x:c r="B8" s="71" t="str">
        <x:v>Quetzalcoatl-aligned legitimacy house</x:v>
      </x:c>
      <x:c r="C8" s="71" t="str">
        <x:v>Ritual/status access and stronger priest/noble lean</x:v>
      </x:c>
      <x:c r="D8" s="71" t="n">
        <x:v>1</x:v>
      </x:c>
      <x:c r="E8" s="71" t="str">
        <x:v>Cacao, fine textiles, legitimacy goods</x:v>
      </x:c>
      <x:c r="F8" s="71" t="str">
        <x:v>Cacao, cloth and fine textiles</x:v>
      </x:c>
      <x:c r="G8" s="71" t="str">
        <x:v>Consolidate palace/status production</x:v>
      </x:c>
      <x:c r="H8" s="71" t="str">
        <x:v>Should help solve court/status goods while increasing cacao/fine textile pressure</x:v>
      </x:c>
      <x:c r="I8" s="71"/>
      <x:c r="J8" s="30"/>
      <x:c r="K8" s="30"/>
    </x:row>
    <x:row r="9">
      <x:c r="A9" s="71"/>
      <x:c r="B9" s="71"/>
      <x:c r="C9" s="71"/>
      <x:c r="D9" s="71"/>
      <x:c r="E9" s="71"/>
      <x:c r="F9" s="71"/>
      <x:c r="G9" s="71"/>
      <x:c r="H9" s="71"/>
      <x:c r="I9" s="71"/>
      <x:c r="J9" s="30"/>
      <x:c r="K9" s="30"/>
    </x:row>
    <x:row r="10">
      <x:c r="A10" s="71"/>
      <x:c r="B10" s="71"/>
      <x:c r="C10" s="71"/>
      <x:c r="D10" s="71"/>
      <x:c r="E10" s="71"/>
      <x:c r="F10" s="71"/>
      <x:c r="G10" s="71"/>
      <x:c r="H10" s="71"/>
      <x:c r="I10" s="71"/>
      <x:c r="J10" s="30"/>
      <x:c r="K10" s="30"/>
    </x:row>
    <x:row r="11">
      <x:c r="A11" s="68" t="str">
        <x:v>House</x:v>
      </x:c>
      <x:c r="B11" s="68" t="str">
        <x:v>Maize base</x:v>
      </x:c>
      <x:c r="C11" s="68" t="str">
        <x:v>Cacao/status edge</x:v>
      </x:c>
      <x:c r="D11" s="68" t="str">
        <x:v>Tool capacity</x:v>
      </x:c>
      <x:c r="E11" s="68" t="str">
        <x:v>Obsidian/war edge</x:v>
      </x:c>
      <x:c r="F11" s="68" t="str">
        <x:v>Cloth/practical edge</x:v>
      </x:c>
      <x:c r="G11" s="68" t="str">
        <x:v>Legitimacy/status edge</x:v>
      </x:c>
      <x:c r="H11" s="68" t="str">
        <x:v>Opening risk</x:v>
      </x:c>
      <x:c r="I11" s="68" t="str">
        <x:v>Summary</x:v>
      </x:c>
      <x:c r="J11" s="30"/>
      <x:c r="K11" s="30"/>
    </x:row>
    <x:row r="12">
      <x:c r="A12" s="71" t="str">
        <x:v>Player Estate</x:v>
      </x:c>
      <x:c r="B12" s="71" t="n">
        <x:v>4</x:v>
      </x:c>
      <x:c r="C12" s="71" t="n">
        <x:v>3</x:v>
      </x:c>
      <x:c r="D12" s="71" t="n">
        <x:v>2</x:v>
      </x:c>
      <x:c r="E12" s="71" t="n">
        <x:v>1</x:v>
      </x:c>
      <x:c r="F12" s="71" t="n">
        <x:v>1</x:v>
      </x:c>
      <x:c r="G12" s="71" t="n">
        <x:v>1</x:v>
      </x:c>
      <x:c r="H12" s="71" t="n">
        <x:v>3</x:v>
      </x:c>
      <x:c r="I12" s="71" t="str">
        <x:v>Flexible but underdeveloped; must choose a path.</x:v>
      </x:c>
      <x:c r="J12" s="30"/>
      <x:c r="K12" s="30"/>
    </x:row>
    <x:row r="13">
      <x:c r="A13" s="71" t="str">
        <x:v>War Rival Estate</x:v>
      </x:c>
      <x:c r="B13" s="71" t="n">
        <x:v>3</x:v>
      </x:c>
      <x:c r="C13" s="71" t="n">
        <x:v>1</x:v>
      </x:c>
      <x:c r="D13" s="71" t="n">
        <x:v>2</x:v>
      </x:c>
      <x:c r="E13" s="71" t="n">
        <x:v>4</x:v>
      </x:c>
      <x:c r="F13" s="71" t="n">
        <x:v>1</x:v>
      </x:c>
      <x:c r="G13" s="71" t="n">
        <x:v>1</x:v>
      </x:c>
      <x:c r="H13" s="71" t="n">
        <x:v>3</x:v>
      </x:c>
      <x:c r="I13" s="71" t="str">
        <x:v>Huitzilopochtli-aligned war niche is clearer after village obsidian reduction.</x:v>
      </x:c>
      <x:c r="J13" s="30"/>
      <x:c r="K13" s="30"/>
    </x:row>
    <x:row r="14">
      <x:c r="A14" s="71" t="str">
        <x:v>Cunning Rival Estate</x:v>
      </x:c>
      <x:c r="B14" s="71" t="n">
        <x:v>3</x:v>
      </x:c>
      <x:c r="C14" s="71" t="n">
        <x:v>2</x:v>
      </x:c>
      <x:c r="D14" s="71" t="n">
        <x:v>4</x:v>
      </x:c>
      <x:c r="E14" s="71" t="n">
        <x:v>1</x:v>
      </x:c>
      <x:c r="F14" s="71" t="n">
        <x:v>4</x:v>
      </x:c>
      <x:c r="G14" s="71" t="n">
        <x:v>2</x:v>
      </x:c>
      <x:c r="H14" s="71" t="n">
        <x:v>2</x:v>
      </x:c>
      <x:c r="I14" s="71" t="str">
        <x:v>Tezcatlipoca-aligned rival has the strongest early practical/market leverage.</x:v>
      </x:c>
      <x:c r="J14" s="30"/>
      <x:c r="K14" s="30"/>
    </x:row>
    <x:row r="15">
      <x:c r="A15" s="71" t="str">
        <x:v>Diplomatic Rival Estate</x:v>
      </x:c>
      <x:c r="B15" s="71" t="n">
        <x:v>3</x:v>
      </x:c>
      <x:c r="C15" s="71" t="n">
        <x:v>3</x:v>
      </x:c>
      <x:c r="D15" s="71" t="n">
        <x:v>2</x:v>
      </x:c>
      <x:c r="E15" s="71" t="n">
        <x:v>1</x:v>
      </x:c>
      <x:c r="F15" s="71" t="n">
        <x:v>2</x:v>
      </x:c>
      <x:c r="G15" s="71" t="n">
        <x:v>4</x:v>
      </x:c>
      <x:c r="H15" s="71" t="n">
        <x:v>3</x:v>
      </x:c>
      <x:c r="I15" s="71" t="str">
        <x:v>Quetzalcoatl-aligned rival is best placed for palace, legitimacy and status pressure.</x:v>
      </x:c>
      <x:c r="J15" s="30"/>
      <x:c r="K15" s="30"/>
    </x:row>
    <x:row r="16">
      <x:c r="A16" s="71"/>
      <x:c r="B16" s="71"/>
      <x:c r="C16" s="71"/>
      <x:c r="D16" s="71"/>
      <x:c r="E16" s="71"/>
      <x:c r="F16" s="71"/>
      <x:c r="G16" s="71"/>
      <x:c r="H16" s="71"/>
      <x:c r="I16" s="71"/>
      <x:c r="J16" s="30"/>
      <x:c r="K16" s="30"/>
    </x:row>
    <x:row r="17">
      <x:c r="A17" s="71"/>
      <x:c r="B17" s="71"/>
      <x:c r="C17" s="71"/>
      <x:c r="D17" s="71"/>
      <x:c r="E17" s="71"/>
      <x:c r="F17" s="71"/>
      <x:c r="G17" s="71"/>
      <x:c r="H17" s="71"/>
      <x:c r="I17" s="71"/>
      <x:c r="J17" s="30"/>
      <x:c r="K17" s="30"/>
    </x:row>
    <x:row r="18">
      <x:c r="A18" s="68" t="str">
        <x:v>Good</x:v>
      </x:c>
      <x:c r="B18" s="68" t="str">
        <x:v>v0.6 net / turn</x:v>
      </x:c>
      <x:c r="C18" s="68" t="str">
        <x:v>v0.7 net / turn</x:v>
      </x:c>
      <x:c r="D18" s="68" t="str">
        <x:v>Change</x:v>
      </x:c>
      <x:c r="E18" s="68" t="str">
        <x:v>Read</x:v>
      </x:c>
      <x:c r="F18" s="71"/>
      <x:c r="G18" s="71"/>
      <x:c r="H18" s="71"/>
      <x:c r="I18" s="71"/>
      <x:c r="J18" s="30"/>
      <x:c r="K18" s="30"/>
    </x:row>
    <x:row r="19">
      <x:c r="A19" s="71" t="str">
        <x:v>Tools</x:v>
      </x:c>
      <x:c r="B19" s="71" t="n">
        <x:v>1</x:v>
      </x:c>
      <x:c r="C19" s="71" t="n">
        <x:f>'Market Balance'!H8</x:f>
        <x:v>1.5</x:v>
      </x:c>
      <x:c r="D19" s="71" t="n">
        <x:f>C19-B19</x:f>
        <x:v>0.5</x:v>
      </x:c>
      <x:c r="E19" s="71" t="str">
        <x:v>Tools improve slightly because one quarry no longer consumes tool input.</x:v>
      </x:c>
      <x:c r="F19" s="71"/>
      <x:c r="G19" s="71"/>
      <x:c r="H19" s="71"/>
      <x:c r="I19" s="71"/>
      <x:c r="J19" s="30"/>
      <x:c r="K19" s="30"/>
    </x:row>
    <x:row r="20">
      <x:c r="A20" s="71" t="str">
        <x:v>Obsidian</x:v>
      </x:c>
      <x:c r="B20" s="71" t="n">
        <x:v>17.44</x:v>
      </x:c>
      <x:c r="C20" s="71" t="n">
        <x:f>'Market Balance'!H9</x:f>
        <x:v>3.4444444444444446</x:v>
      </x:c>
      <x:c r="D20" s="71" t="n">
        <x:f>C20-B20</x:f>
        <x:v>-13.995555555555557</x:v>
      </x:c>
      <x:c r="E20" s="71" t="str">
        <x:v>Obsidian surplus is reduced, strengthening the War Rival's relative position.</x:v>
      </x:c>
      <x:c r="F20" s="71"/>
      <x:c r="G20" s="71"/>
      <x:c r="H20" s="71"/>
      <x:c r="I20" s="71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51.67999267578125" hidden="0" customWidth="1"/>
    <x:col min="2" max="2" width="24.360000610351562" hidden="0" customWidth="1"/>
    <x:col min="3" max="3" width="46.15999984741211" hidden="0" customWidth="1"/>
    <x:col min="4" max="4" width="11.84000015258789" hidden="0" customWidth="1"/>
    <x:col min="5" max="5" width="11.569999694824219" hidden="0" customWidth="1"/>
    <x:col min="6" max="6" width="14.9399995803833" hidden="0" customWidth="1"/>
    <x:col min="7" max="7" width="10.770000457763672" hidden="0" customWidth="1"/>
    <x:col min="8" max="8" width="14.670000076293945" hidden="0" customWidth="1"/>
    <x:col min="9" max="9" width="16.549999237060547" hidden="0" customWidth="1"/>
    <x:col min="10" max="10" width="12.25" hidden="0" customWidth="1"/>
    <x:col min="11" max="11" width="49.529998779296875" hidden="0" customWidth="1"/>
    <x:col min="16" max="16" width="28" hidden="0" customWidth="1"/>
  </x:cols>
  <x:sheetData>
    <x:row r="1">
      <x:c r="A1" s="79" t="str">
        <x:v>Prototype 0 Base Good Values + Scaled Scarcity Projection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79"/>
    </x:row>
    <x:row r="2">
      <x:c r="A2" s="76" t="str">
        <x:v>Maize is the base barter unit. Current value = base value × continuous scarcity multiplier. Labels remain categorical for readability, but barter value now scales smoothly with market coverage.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</x:row>
    <x:row r="4">
      <x:c r="A4" s="80" t="str">
        <x:v>Good</x:v>
      </x:c>
      <x:c r="B4" s="80" t="str">
        <x:v>Base barter value</x:v>
      </x:c>
      <x:c r="C4" s="80" t="str">
        <x:v>Demand / turn</x:v>
      </x:c>
      <x:c r="D4" s="80" t="str">
        <x:v>v0.8 net / turn</x:v>
      </x:c>
      <x:c r="E4" s="80" t="str">
        <x:v>Start stockpile</x:v>
      </x:c>
      <x:c r="F4" s="80" t="str">
        <x:v>End-year stockpile</x:v>
      </x:c>
      <x:c r="G4" s="80" t="str">
        <x:v>End coverage</x:v>
      </x:c>
      <x:c r="H4" s="80" t="str">
        <x:v>Scarcity multiplier</x:v>
      </x:c>
      <x:c r="I4" s="80" t="str">
        <x:v>Current barter value</x:v>
      </x:c>
      <x:c r="J4" s="80" t="str">
        <x:v>Projected state</x:v>
      </x:c>
      <x:c r="K4" s="80" t="str">
        <x:v>Design role</x:v>
      </x:c>
    </x:row>
    <x:row r="5">
      <x:c r="A5" t="str">
        <x:v>Maize</x:v>
      </x:c>
      <x:c r="B5" s="28" t="n">
        <x:v>1</x:v>
      </x:c>
      <x:c r="C5" s="28" t="n">
        <x:f>'Market Balance'!B4+'Market Balance'!C4+'Market Balance'!E4+'Market Balance'!G4</x:f>
        <x:v>982.5</x:v>
      </x:c>
      <x:c r="D5" s="28" t="n">
        <x:f>'Market Balance'!H4</x:f>
        <x:v>37.5</x:v>
      </x:c>
      <x:c r="E5" s="28" t="n">
        <x:f>C5*$B$16</x:f>
        <x:v>2947.5</x:v>
      </x:c>
      <x:c r="F5" s="28" t="n">
        <x:f>MAX(0,E5+D5*$B$17)</x:f>
        <x:v>3622.5</x:v>
      </x:c>
      <x:c r="G5" s="28" t="n">
        <x:f>IF(C5=0,"",F5/C5)</x:f>
        <x:v>3.687022900763359</x:v>
      </x:c>
      <x:c r="H5" s="28" t="n">
        <x:f>IF(G5&lt;=0,3,MAX(0.75,MIN(3,3/G5)))</x:f>
        <x:v>0.8136645962732919</x:v>
      </x:c>
      <x:c r="I5" s="28" t="n">
        <x:f>B5*H5</x:f>
        <x:v>0.8136645962732919</x:v>
      </x:c>
      <x:c r="J5" t="str">
        <x:f>IF(G5&gt;=5,"Abundant",IF(G5&gt;=3,"Comfortable",IF(G5&gt;=1.5,"Tight",IF(G5&gt;=0.75,"Shortage","Crisis"))))</x:f>
        <x:v>Comfortable</x:v>
      </x:c>
      <x:c r="K5" t="str">
        <x:v>Food, offerings, tribute, public redistribution.</x:v>
      </x:c>
    </x:row>
    <x:row r="6">
      <x:c r="A6" t="str">
        <x:v>Wood</x:v>
      </x:c>
      <x:c r="B6" s="28" t="n">
        <x:v>2</x:v>
      </x:c>
      <x:c r="C6" s="28" t="n">
        <x:f>'Market Balance'!B5+'Market Balance'!C5+'Market Balance'!E5+'Market Balance'!G5</x:f>
        <x:v>182.5</x:v>
      </x:c>
      <x:c r="D6" s="28" t="n">
        <x:f>'Market Balance'!H5</x:f>
        <x:v>27.5</x:v>
      </x:c>
      <x:c r="E6" s="28" t="n">
        <x:f>C6*$B$16</x:f>
        <x:v>547.5</x:v>
      </x:c>
      <x:c r="F6" s="28" t="n">
        <x:f>MAX(0,E6+D6*$B$17)</x:f>
        <x:v>1042.5</x:v>
      </x:c>
      <x:c r="G6" s="28" t="n">
        <x:f>IF(C6=0,"",F6/C6)</x:f>
        <x:v>5.712328767123288</x:v>
      </x:c>
      <x:c r="H6" s="28" t="n">
        <x:f>IF(G6&lt;=0,3,MAX(0.75,MIN(3,3/G6)))</x:f>
        <x:v>0.75</x:v>
      </x:c>
      <x:c r="I6" s="28" t="n">
        <x:f>B6*H6</x:f>
        <x:v>1.5</x:v>
      </x:c>
      <x:c r="J6" t="str">
        <x:f>IF(G6&gt;=5,"Abundant",IF(G6&gt;=3,"Comfortable",IF(G6&gt;=1.5,"Tight",IF(G6&gt;=0.75,"Shortage","Crisis"))))</x:f>
        <x:v>Abundant</x:v>
      </x:c>
      <x:c r="K6" t="str">
        <x:v>Construction and tool-chain input.</x:v>
      </x:c>
    </x:row>
    <x:row r="7">
      <x:c r="A7" t="str">
        <x:v>Cotton</x:v>
      </x:c>
      <x:c r="B7" s="28" t="n">
        <x:v>2</x:v>
      </x:c>
      <x:c r="C7" s="28" t="n">
        <x:f>'Market Balance'!B6+'Market Balance'!C6+'Market Balance'!E6+'Market Balance'!G6</x:f>
        <x:v>225.47222222222223</x:v>
      </x:c>
      <x:c r="D7" s="28" t="n">
        <x:f>'Market Balance'!H6</x:f>
        <x:v>14.527777777777779</x:v>
      </x:c>
      <x:c r="E7" s="28" t="n">
        <x:f>C7*$B$16</x:f>
        <x:v>676.4166666666667</x:v>
      </x:c>
      <x:c r="F7" s="28" t="n">
        <x:f>MAX(0,E7+D7*$B$17)</x:f>
        <x:v>937.9166666666667</x:v>
      </x:c>
      <x:c r="G7" s="28" t="n">
        <x:f>IF(C7=0,"",F7/C7)</x:f>
        <x:v>4.159788099051374</x:v>
      </x:c>
      <x:c r="H7" s="28" t="n">
        <x:f>IF(G7&lt;=0,3,MAX(0.75,MIN(3,3/G7)))</x:f>
        <x:v>0.75</x:v>
      </x:c>
      <x:c r="I7" s="28" t="n">
        <x:f>B7*H7</x:f>
        <x:v>1.5</x:v>
      </x:c>
      <x:c r="J7" t="str">
        <x:f>IF(G7&gt;=5,"Abundant",IF(G7&gt;=3,"Comfortable",IF(G7&gt;=1.5,"Tight",IF(G7&gt;=0.75,"Shortage","Crisis"))))</x:f>
        <x:v>Comfortable</x:v>
      </x:c>
      <x:c r="K7" t="str">
        <x:v>Textile-chain input and low-status upkeep.</x:v>
      </x:c>
    </x:row>
    <x:row r="8">
      <x:c r="A8" t="str">
        <x:v>Cloth</x:v>
      </x:c>
      <x:c r="B8" s="28" t="n">
        <x:v>5</x:v>
      </x:c>
      <x:c r="C8" s="28" t="n">
        <x:f>'Market Balance'!B7+'Market Balance'!C7+'Market Balance'!E7+'Market Balance'!G7</x:f>
        <x:v>224.61111111111111</x:v>
      </x:c>
      <x:c r="D8" s="28" t="n">
        <x:f>'Market Balance'!H7</x:f>
        <x:v>-0.6111111111111112</x:v>
      </x:c>
      <x:c r="E8" s="28" t="n">
        <x:f>C8*$B$16</x:f>
        <x:v>673.8333333333334</x:v>
      </x:c>
      <x:c r="F8" s="28" t="n">
        <x:f>MAX(0,E8+D8*$B$17)</x:f>
        <x:v>662.8333333333334</x:v>
      </x:c>
      <x:c r="G8" s="28" t="n">
        <x:f>IF(C8=0,"",F8/C8)</x:f>
        <x:v>2.951026465495919</x:v>
      </x:c>
      <x:c r="H8" s="28" t="n">
        <x:f>IF(G8&lt;=0,3,MAX(0.75,MIN(3,3/G8)))</x:f>
        <x:v>1.0165954236861956</x:v>
      </x:c>
      <x:c r="I8" s="28" t="n">
        <x:f>B8*H8</x:f>
        <x:v>5.082977118430978</x:v>
      </x:c>
      <x:c r="J8" t="str">
        <x:f>IF(G8&gt;=5,"Abundant",IF(G8&gt;=3,"Comfortable",IF(G8&gt;=1.5,"Tight",IF(G8&gt;=0.75,"Shortage","Crisis"))))</x:f>
        <x:v>Tight</x:v>
      </x:c>
      <x:c r="K8" t="str">
        <x:v>Broad status/workforce upkeep and construction bottleneck.</x:v>
      </x:c>
    </x:row>
    <x:row r="9">
      <x:c r="A9" t="str">
        <x:v>Tools</x:v>
      </x:c>
      <x:c r="B9" s="28" t="n">
        <x:v>7</x:v>
      </x:c>
      <x:c r="C9" s="28" t="n">
        <x:f>'Market Balance'!B8+'Market Balance'!C8+'Market Balance'!E8+'Market Balance'!G8</x:f>
        <x:v>128.5</x:v>
      </x:c>
      <x:c r="D9" s="28" t="n">
        <x:f>'Market Balance'!H8</x:f>
        <x:v>1.5</x:v>
      </x:c>
      <x:c r="E9" s="28" t="n">
        <x:f>C9*$B$16</x:f>
        <x:v>385.5</x:v>
      </x:c>
      <x:c r="F9" s="28" t="n">
        <x:f>MAX(0,E9+D9*$B$17)</x:f>
        <x:v>412.5</x:v>
      </x:c>
      <x:c r="G9" s="28" t="n">
        <x:f>IF(C9=0,"",F9/C9)</x:f>
        <x:v>3.21011673151751</x:v>
      </x:c>
      <x:c r="H9" s="28" t="n">
        <x:f>IF(G9&lt;=0,3,MAX(0.75,MIN(3,3/G9)))</x:f>
        <x:v>0.9345454545454545</x:v>
      </x:c>
      <x:c r="I9" s="28" t="n">
        <x:f>B9*H9</x:f>
        <x:v>6.541818181818181</x:v>
      </x:c>
      <x:c r="J9" t="str">
        <x:f>IF(G9&gt;=5,"Abundant",IF(G9&gt;=3,"Comfortable",IF(G9&gt;=1.5,"Tight",IF(G9&gt;=0.75,"Shortage","Crisis"))))</x:f>
        <x:v>Comfortable</x:v>
      </x:c>
      <x:c r="K9" t="str">
        <x:v>Production hinge good for fields, workshops and construction.</x:v>
      </x:c>
    </x:row>
    <x:row r="10">
      <x:c r="A10" t="str">
        <x:v>Obsidian</x:v>
      </x:c>
      <x:c r="B10" s="28" t="n">
        <x:v>8</x:v>
      </x:c>
      <x:c r="C10" s="28" t="n">
        <x:f>'Market Balance'!B9+'Market Balance'!C9+'Market Balance'!E9+'Market Balance'!G9</x:f>
        <x:v>10.555555555555555</x:v>
      </x:c>
      <x:c r="D10" s="28" t="n">
        <x:f>'Market Balance'!H9</x:f>
        <x:v>3.4444444444444446</x:v>
      </x:c>
      <x:c r="E10" s="28" t="n">
        <x:f>C10*$B$16</x:f>
        <x:v>31.666666666666664</x:v>
      </x:c>
      <x:c r="F10" s="28" t="n">
        <x:f>MAX(0,E10+D10*$B$17)</x:f>
        <x:v>93.66666666666666</x:v>
      </x:c>
      <x:c r="G10" s="28" t="n">
        <x:f>IF(C10=0,"",F10/C10)</x:f>
        <x:v>8.873684210526315</x:v>
      </x:c>
      <x:c r="H10" s="28" t="n">
        <x:f>IF(G10&lt;=0,3,MAX(0.75,MIN(3,3/G10)))</x:f>
        <x:v>0.75</x:v>
      </x:c>
      <x:c r="I10" s="28" t="n">
        <x:f>B10*H10</x:f>
        <x:v>6</x:v>
      </x:c>
      <x:c r="J10" t="str">
        <x:f>IF(G10&gt;=5,"Abundant",IF(G10&gt;=3,"Comfortable",IF(G10&gt;=1.5,"Tight",IF(G10&gt;=0.75,"Shortage","Crisis"))))</x:f>
        <x:v>Abundant</x:v>
      </x:c>
      <x:c r="K10" t="str">
        <x:v>War/input good for weapons and prestige warfare.</x:v>
      </x:c>
    </x:row>
    <x:row r="11">
      <x:c r="A11" t="str">
        <x:v>Weapons</x:v>
      </x:c>
      <x:c r="B11" s="28" t="n">
        <x:v>18</x:v>
      </x:c>
      <x:c r="C11" s="28" t="n">
        <x:f>'Market Balance'!B10+'Market Balance'!C10+'Market Balance'!E10+'Market Balance'!G10</x:f>
        <x:v>10.277777777777779</x:v>
      </x:c>
      <x:c r="D11" s="28" t="n">
        <x:f>'Market Balance'!H10</x:f>
        <x:v>-2.2777777777777777</x:v>
      </x:c>
      <x:c r="E11" s="28" t="n">
        <x:f>C11*$B$16</x:f>
        <x:v>30.833333333333336</x:v>
      </x:c>
      <x:c r="F11" s="28" t="n">
        <x:f>MAX(0,E11+D11*$B$17)</x:f>
        <x:v>0</x:v>
      </x:c>
      <x:c r="G11" s="28" t="n">
        <x:f>IF(C11=0,"",F11/C11)</x:f>
        <x:v>0</x:v>
      </x:c>
      <x:c r="H11" s="28" t="n">
        <x:f>IF(G11&lt;=0,3,MAX(0.75,MIN(3,3/G11)))</x:f>
        <x:v>3</x:v>
      </x:c>
      <x:c r="I11" s="28" t="n">
        <x:f>B11*H11</x:f>
        <x:v>54</x:v>
      </x:c>
      <x:c r="J11" t="str">
        <x:f>IF(G11&gt;=5,"Abundant",IF(G11&gt;=3,"Comfortable",IF(G11&gt;=1.5,"Tight",IF(G11&gt;=0.75,"Shortage","Crisis"))))</x:f>
        <x:v>Crisis</x:v>
      </x:c>
      <x:c r="K11" t="str">
        <x:v>Flower Wars readiness and martial pressure.</x:v>
      </x:c>
    </x:row>
    <x:row r="12">
      <x:c r="A12" t="str">
        <x:v>Ritual goods</x:v>
      </x:c>
      <x:c r="B12" s="28" t="n">
        <x:v>12</x:v>
      </x:c>
      <x:c r="C12" s="28" t="n">
        <x:f>'Market Balance'!B11+'Market Balance'!C11+'Market Balance'!E11+'Market Balance'!G11</x:f>
        <x:v>6.111111111111111</x:v>
      </x:c>
      <x:c r="D12" s="28" t="n">
        <x:f>'Market Balance'!H11</x:f>
        <x:v>-0.1111111111111111</x:v>
      </x:c>
      <x:c r="E12" s="28" t="n">
        <x:f>C12*$B$16</x:f>
        <x:v>18.333333333333332</x:v>
      </x:c>
      <x:c r="F12" s="28" t="n">
        <x:f>MAX(0,E12+D12*$B$17)</x:f>
        <x:v>16.333333333333332</x:v>
      </x:c>
      <x:c r="G12" s="28" t="n">
        <x:f>IF(C12=0,"",F12/C12)</x:f>
        <x:v>2.672727272727273</x:v>
      </x:c>
      <x:c r="H12" s="28" t="n">
        <x:f>IF(G12&lt;=0,3,MAX(0.75,MIN(3,3/G12)))</x:f>
        <x:v>1.1224489795918366</x:v>
      </x:c>
      <x:c r="I12" s="28" t="n">
        <x:f>B12*H12</x:f>
        <x:v>13.46938775510204</x:v>
      </x:c>
      <x:c r="J12" t="str">
        <x:f>IF(G12&gt;=5,"Abundant",IF(G12&gt;=3,"Comfortable",IF(G12&gt;=1.5,"Tight",IF(G12&gt;=0.75,"Shortage","Crisis"))))</x:f>
        <x:v>Tight</x:v>
      </x:c>
      <x:c r="K12" t="str">
        <x:v>Offerings, priestly upkeep and shrine activity.</x:v>
      </x:c>
    </x:row>
    <x:row r="13">
      <x:c r="A13" t="str">
        <x:v>Cacao</x:v>
      </x:c>
      <x:c r="B13" s="28" t="n">
        <x:v>15</x:v>
      </x:c>
      <x:c r="C13" s="28" t="n">
        <x:f>'Market Balance'!B12+'Market Balance'!C12+'Market Balance'!E12+'Market Balance'!G12</x:f>
        <x:v>12.833333333333334</x:v>
      </x:c>
      <x:c r="D13" s="28" t="n">
        <x:f>'Market Balance'!H12</x:f>
        <x:v>-0.8333333333333333</x:v>
      </x:c>
      <x:c r="E13" s="28" t="n">
        <x:f>C13*$B$16</x:f>
        <x:v>38.5</x:v>
      </x:c>
      <x:c r="F13" s="28" t="n">
        <x:f>MAX(0,E13+D13*$B$17)</x:f>
        <x:v>23.5</x:v>
      </x:c>
      <x:c r="G13" s="28" t="n">
        <x:f>IF(C13=0,"",F13/C13)</x:f>
        <x:v>1.831168831168831</x:v>
      </x:c>
      <x:c r="H13" s="28" t="n">
        <x:f>IF(G13&lt;=0,3,MAX(0.75,MIN(3,3/G13)))</x:f>
        <x:v>1.6382978723404258</x:v>
      </x:c>
      <x:c r="I13" s="28" t="n">
        <x:f>B13*H13</x:f>
        <x:v>24.574468085106385</x:v>
      </x:c>
      <x:c r="J13" t="str">
        <x:f>IF(G13&gt;=5,"Abundant",IF(G13&gt;=3,"Comfortable",IF(G13&gt;=1.5,"Tight",IF(G13&gt;=0.75,"Shortage","Crisis"))))</x:f>
        <x:v>Tight</x:v>
      </x:c>
      <x:c r="K13" t="str">
        <x:v>Status, diplomacy, ritual and barter pressure.</x:v>
      </x:c>
    </x:row>
    <x:row r="14">
      <x:c r="A14" t="str">
        <x:v>Fine textiles</x:v>
      </x:c>
      <x:c r="B14" s="28" t="n">
        <x:v>35</x:v>
      </x:c>
      <x:c r="C14" s="28" t="n">
        <x:f>'Market Balance'!B13+'Market Balance'!C13+'Market Balance'!E13+'Market Balance'!G13</x:f>
        <x:v>4.055555555555555</x:v>
      </x:c>
      <x:c r="D14" s="28" t="n">
        <x:f>'Market Balance'!H13</x:f>
        <x:v>-1.0555555555555556</x:v>
      </x:c>
      <x:c r="E14" s="28" t="n">
        <x:f>C14*$B$16</x:f>
        <x:v>12.166666666666666</x:v>
      </x:c>
      <x:c r="F14" s="28" t="n">
        <x:f>MAX(0,E14+D14*$B$17)</x:f>
        <x:v>0</x:v>
      </x:c>
      <x:c r="G14" s="28" t="n">
        <x:f>IF(C14=0,"",F14/C14)</x:f>
        <x:v>0</x:v>
      </x:c>
      <x:c r="H14" s="28" t="n">
        <x:f>IF(G14&lt;=0,3,MAX(0.75,MIN(3,3/G14)))</x:f>
        <x:v>3</x:v>
      </x:c>
      <x:c r="I14" s="28" t="n">
        <x:f>B14*H14</x:f>
        <x:v>105</x:v>
      </x:c>
      <x:c r="J14" t="str">
        <x:f>IF(G14&gt;=5,"Abundant",IF(G14&gt;=3,"Comfortable",IF(G14&gt;=1.5,"Tight",IF(G14&gt;=0.75,"Shortage","Crisis"))))</x:f>
        <x:v>Crisis</x:v>
      </x:c>
      <x:c r="K14" t="str">
        <x:v>Elite status, diplomacy, palace and prestige pressure.</x:v>
      </x:c>
    </x:row>
    <x:row r="16">
      <x:c r="A16" t="str">
        <x:v>Starting market coverage turns</x:v>
      </x:c>
      <x:c r="B16" t="n">
        <x:v>3</x:v>
      </x:c>
    </x:row>
    <x:row r="17">
      <x:c r="A17" t="str">
        <x:v>Projection turns</x:v>
      </x:c>
      <x:c r="B17" t="n">
        <x:v>18</x:v>
      </x:c>
    </x:row>
    <x:row r="19">
      <x:c r="A19" s="80" t="str">
        <x:v>Coverage guide</x:v>
      </x:c>
      <x:c r="B19" s="80" t="str">
        <x:v>Market label</x:v>
      </x:c>
      <x:c r="C19" s="80" t="str">
        <x:v>Value behaviour</x:v>
      </x:c>
    </x:row>
    <x:row r="20">
      <x:c r="A20" t="str">
        <x:v>&gt;= 5 turns</x:v>
      </x:c>
      <x:c r="B20" t="str">
        <x:v>Abundant</x:v>
      </x:c>
      <x:c r="C20" t="str">
        <x:v>Multiplier trends toward 0.75× floor</x:v>
      </x:c>
    </x:row>
    <x:row r="21">
      <x:c r="A21" t="str">
        <x:v>3–4.99 turns</x:v>
      </x:c>
      <x:c r="B21" t="str">
        <x:v>Comfortable</x:v>
      </x:c>
      <x:c r="C21" t="str">
        <x:v>Multiplier around 1.00×</x:v>
      </x:c>
    </x:row>
    <x:row r="22">
      <x:c r="A22" t="str">
        <x:v>1.5–2.99 turns</x:v>
      </x:c>
      <x:c r="B22" t="str">
        <x:v>Tight</x:v>
      </x:c>
      <x:c r="C22" t="str">
        <x:v>Multiplier rises smoothly above 1.00×</x:v>
      </x:c>
    </x:row>
    <x:row r="23">
      <x:c r="A23" t="str">
        <x:v>0.75–1.49 turns</x:v>
      </x:c>
      <x:c r="B23" t="str">
        <x:v>Shortage</x:v>
      </x:c>
      <x:c r="C23" t="str">
        <x:v>Multiplier rises sharply</x:v>
      </x:c>
    </x:row>
    <x:row r="24">
      <x:c r="A24" t="str">
        <x:v>&lt; 0.75 turns</x:v>
      </x:c>
      <x:c r="B24" t="str">
        <x:v>Crisis</x:v>
      </x:c>
      <x:c r="C24" t="str">
        <x:v>Multiplier capped at 3.00×</x:v>
      </x:c>
    </x:row>
    <x:row r="26">
      <x:c r="A26" s="80" t="str">
        <x:v>Scaled scarcity formula</x:v>
      </x:c>
      <x:c r="B26" s="80" t="str">
        <x:v>Formula</x:v>
      </x:c>
      <x:c r="C26" s="80" t="str">
        <x:v>Notes</x:v>
      </x:c>
    </x:row>
    <x:row r="27">
      <x:c r="A27" t="str">
        <x:v>Current multiplier</x:v>
      </x:c>
      <x:c r="B27" t="str">
        <x:v>=IF(Coverage&lt;=0,3,MAX(0.75,MIN(3,3/Coverage)))</x:v>
      </x:c>
      <x:c r="C27" t="str">
        <x:v>Continuous barter value; avoids hard jumps at thresholds.</x:v>
      </x:c>
    </x:row>
    <x:row r="28">
      <x:c r="A28" t="str">
        <x:v>Market label</x:v>
      </x:c>
      <x:c r="B28" t="str">
        <x:v>Category from coverage bands</x:v>
      </x:c>
      <x:c r="C28" t="str">
        <x:v>Display/readability only; does not set price.</x:v>
      </x:c>
    </x:row>
  </x:sheetData>
  <x:conditionalFormatting sqref="J5:J14">
    <x:cfRule type="expression" dxfId="4" priority="1">
      <x:formula>J5="Crisis"</x:formula>
    </x:cfRule>
    <x:cfRule type="expression" dxfId="5" priority="2">
      <x:formula>J5="Shortage"</x:formula>
    </x:cfRule>
    <x:cfRule type="expression" dxfId="6" priority="3">
      <x:formula>J5="Tight"</x:formula>
    </x:cfRule>
    <x:cfRule type="expression" dxfId="7" priority="4">
      <x:formula>J5="Comfortable"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58.5500030517578" hidden="0" customWidth="1"/>
    <x:col min="2" max="2" width="11.569999694824219" hidden="0" customWidth="1"/>
    <x:col min="3" max="3" width="25.030000686645508" hidden="0" customWidth="1"/>
    <x:col min="4" max="4" width="18.440000534057617" hidden="0" customWidth="1"/>
    <x:col min="5" max="5" width="13.319999694824219" hidden="0" customWidth="1"/>
    <x:col min="6" max="6" width="16.549999237060547" hidden="0" customWidth="1"/>
    <x:col min="7" max="7" width="11.84000015258789" hidden="0" customWidth="1"/>
    <x:col min="8" max="8" width="68.63999938964844" hidden="0" customWidth="1"/>
    <x:col min="9" max="9" width="10.09000015258789" hidden="0" customWidth="1"/>
    <x:col min="10" max="10" width="4.849999904632568" hidden="0" customWidth="1"/>
    <x:col min="11" max="11" width="9.829999923706055" hidden="0" customWidth="1"/>
    <x:col min="12" max="12" width="7.539999961853027" hidden="0" customWidth="1"/>
    <x:col min="13" max="13" width="17.6299991607666" hidden="0" customWidth="1"/>
    <x:col min="14" max="14" width="15.479999542236328" hidden="0" customWidth="1"/>
    <x:col min="15" max="15" width="15.479999542236328" hidden="0" customWidth="1"/>
    <x:col min="16" max="16" width="45.4900016784668" hidden="0" customWidth="1"/>
  </x:cols>
  <x:sheetData>
    <x:row r="1">
      <x:c r="A1" s="79" t="str">
        <x:v>Player First-Year Expansion Test — v0.10 Scaled Scarcity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79"/>
      <x:c r="L1" s="79"/>
      <x:c r="M1" s="79"/>
      <x:c r="N1" s="79"/>
      <x:c r="O1" s="79"/>
      <x:c r="P1" s="79"/>
    </x:row>
    <x:row r="2">
      <x:c r="A2" s="76" t="str">
        <x:v>Editable assumptions test whether the blank-slate player can convert maize/cacao surplus into first-year production buildings through barter. Current barter values now use continuous scarcity scaling.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  <x:c r="L2"/>
      <x:c r="M2"/>
      <x:c r="N2"/>
      <x:c r="O2"/>
      <x:c r="P2"/>
    </x:row>
    <x:row r="4">
      <x:c r="A4" s="80" t="str">
        <x:v>Good</x:v>
      </x:c>
      <x:c r="B4" s="80" t="str">
        <x:v>Start stockpile</x:v>
      </x:c>
      <x:c r="C4" s="80" t="str">
        <x:v>Projected first-year net surplus</x:v>
      </x:c>
      <x:c r="D4" s="80" t="str">
        <x:v>Reserved / not for sale</x:v>
      </x:c>
      <x:c r="E4" s="80" t="str">
        <x:v>Tradable surplus</x:v>
      </x:c>
      <x:c r="F4" s="80" t="str">
        <x:v>Current barter value</x:v>
      </x:c>
      <x:c r="G4" s="80" t="str">
        <x:v>Tradable value</x:v>
      </x:c>
      <x:c r="H4" s="80" t="str">
        <x:v>Notes</x:v>
      </x:c>
    </x:row>
    <x:row r="5">
      <x:c r="A5" t="str">
        <x:v>Maize</x:v>
      </x:c>
      <x:c r="B5" s="28" t="n">
        <x:v>300</x:v>
      </x:c>
      <x:c r="C5" s="28" t="n">
        <x:v>1836</x:v>
      </x:c>
      <x:c r="D5" s="28" t="n">
        <x:v>600</x:v>
      </x:c>
      <x:c r="E5" s="28" t="n">
        <x:f>MAX(0,B5+C5-D5)</x:f>
        <x:v>1536</x:v>
      </x:c>
      <x:c r="F5" s="28" t="n">
        <x:f>'Base Values'!I5</x:f>
        <x:v>0.8136645962732919</x:v>
      </x:c>
      <x:c r="G5" s="28" t="n">
        <x:f>E5*F5</x:f>
        <x:v>1249.7888198757764</x:v>
      </x:c>
      <x:c r="H5" t="str">
        <x:v>Primary starting agency; should fund early market purchases if surplus is high enough.</x:v>
      </x:c>
    </x:row>
    <x:row r="6">
      <x:c r="A6" t="str">
        <x:v>Wood</x:v>
      </x:c>
      <x:c r="B6" s="28" t="n">
        <x:v>20</x:v>
      </x:c>
      <x:c r="C6" s="28" t="n">
        <x:v>0</x:v>
      </x:c>
      <x:c r="D6" s="28" t="n">
        <x:v>20</x:v>
      </x:c>
      <x:c r="E6" s="28" t="n">
        <x:f>MAX(0,B6+C6-D6)</x:f>
        <x:v>0</x:v>
      </x:c>
      <x:c r="F6" s="28" t="n">
        <x:f>'Base Values'!I6</x:f>
        <x:v>1.5</x:v>
      </x:c>
      <x:c r="G6" s="28" t="n">
        <x:f>E6*F6</x:f>
        <x:v>0</x:v>
      </x:c>
      <x:c r="H6" t="str">
        <x:v>Starter reserve, mostly kept for construction.</x:v>
      </x:c>
    </x:row>
    <x:row r="7">
      <x:c r="A7" t="str">
        <x:v>Cotton</x:v>
      </x:c>
      <x:c r="B7" s="28" t="n">
        <x:v>0</x:v>
      </x:c>
      <x:c r="C7" s="28" t="n">
        <x:v>0</x:v>
      </x:c>
      <x:c r="D7" s="28" t="n">
        <x:v>0</x:v>
      </x:c>
      <x:c r="E7" s="28" t="n">
        <x:f>MAX(0,B7+C7-D7)</x:f>
        <x:v>0</x:v>
      </x:c>
      <x:c r="F7" s="28" t="n">
        <x:f>'Base Values'!I7</x:f>
        <x:v>1.5</x:v>
      </x:c>
      <x:c r="G7" s="28" t="n">
        <x:f>E7*F7</x:f>
        <x:v>0</x:v>
      </x:c>
      <x:c r="H7" t="str">
        <x:v>No starting production chain.</x:v>
      </x:c>
    </x:row>
    <x:row r="8">
      <x:c r="A8" t="str">
        <x:v>Cloth</x:v>
      </x:c>
      <x:c r="B8" s="28" t="n">
        <x:v>10</x:v>
      </x:c>
      <x:c r="C8" s="28" t="n">
        <x:v>0</x:v>
      </x:c>
      <x:c r="D8" s="28" t="n">
        <x:v>10</x:v>
      </x:c>
      <x:c r="E8" s="28" t="n">
        <x:f>MAX(0,B8+C8-D8)</x:f>
        <x:v>0</x:v>
      </x:c>
      <x:c r="F8" s="28" t="n">
        <x:f>'Base Values'!I8</x:f>
        <x:v>5.082977118430978</x:v>
      </x:c>
      <x:c r="G8" s="28" t="n">
        <x:f>E8*F8</x:f>
        <x:v>0</x:v>
      </x:c>
      <x:c r="H8" t="str">
        <x:v>Kept for upkeep/construction.</x:v>
      </x:c>
    </x:row>
    <x:row r="9">
      <x:c r="A9" t="str">
        <x:v>Tools</x:v>
      </x:c>
      <x:c r="B9" s="28" t="n">
        <x:v>10</x:v>
      </x:c>
      <x:c r="C9" s="28" t="n">
        <x:v>0</x:v>
      </x:c>
      <x:c r="D9" s="28" t="n">
        <x:v>10</x:v>
      </x:c>
      <x:c r="E9" s="28" t="n">
        <x:f>MAX(0,B9+C9-D9)</x:f>
        <x:v>0</x:v>
      </x:c>
      <x:c r="F9" s="28" t="n">
        <x:f>'Base Values'!I9</x:f>
        <x:v>6.541818181818181</x:v>
      </x:c>
      <x:c r="G9" s="28" t="n">
        <x:f>E9*F9</x:f>
        <x:v>0</x:v>
      </x:c>
      <x:c r="H9" t="str">
        <x:v>Kept for upkeep/construction.</x:v>
      </x:c>
    </x:row>
    <x:row r="10">
      <x:c r="A10" t="str">
        <x:v>Obsidian</x:v>
      </x:c>
      <x:c r="B10" s="28" t="n">
        <x:v>0</x:v>
      </x:c>
      <x:c r="C10" s="28" t="n">
        <x:v>0</x:v>
      </x:c>
      <x:c r="D10" s="28" t="n">
        <x:v>0</x:v>
      </x:c>
      <x:c r="E10" s="28" t="n">
        <x:f>MAX(0,B10+C10-D10)</x:f>
        <x:v>0</x:v>
      </x:c>
      <x:c r="F10" s="28" t="n">
        <x:f>'Base Values'!I10</x:f>
        <x:v>6</x:v>
      </x:c>
      <x:c r="G10" s="28" t="n">
        <x:f>E10*F10</x:f>
        <x:v>0</x:v>
      </x:c>
      <x:c r="H10" t="str">
        <x:v>No starting production chain.</x:v>
      </x:c>
    </x:row>
    <x:row r="11">
      <x:c r="A11" t="str">
        <x:v>Weapons</x:v>
      </x:c>
      <x:c r="B11" s="28" t="n">
        <x:v>5</x:v>
      </x:c>
      <x:c r="C11" s="28" t="n">
        <x:v>0</x:v>
      </x:c>
      <x:c r="D11" s="28" t="n">
        <x:v>5</x:v>
      </x:c>
      <x:c r="E11" s="28" t="n">
        <x:f>MAX(0,B11+C11-D11)</x:f>
        <x:v>0</x:v>
      </x:c>
      <x:c r="F11" s="28" t="n">
        <x:f>'Base Values'!I11</x:f>
        <x:v>54</x:v>
      </x:c>
      <x:c r="G11" s="28" t="n">
        <x:f>E11*F11</x:f>
        <x:v>0</x:v>
      </x:c>
      <x:c r="H11" t="str">
        <x:v>Kept for minimal warrior readiness.</x:v>
      </x:c>
    </x:row>
    <x:row r="12">
      <x:c r="A12" t="str">
        <x:v>Ritual goods</x:v>
      </x:c>
      <x:c r="B12" s="28" t="n">
        <x:v>2</x:v>
      </x:c>
      <x:c r="C12" s="28" t="n">
        <x:v>0</x:v>
      </x:c>
      <x:c r="D12" s="28" t="n">
        <x:v>2</x:v>
      </x:c>
      <x:c r="E12" s="28" t="n">
        <x:f>MAX(0,B12+C12-D12)</x:f>
        <x:v>0</x:v>
      </x:c>
      <x:c r="F12" s="28" t="n">
        <x:f>'Base Values'!I12</x:f>
        <x:v>13.46938775510204</x:v>
      </x:c>
      <x:c r="G12" s="28" t="n">
        <x:f>E12*F12</x:f>
        <x:v>0</x:v>
      </x:c>
      <x:c r="H12" t="str">
        <x:v>Kept for small shrine/offering support.</x:v>
      </x:c>
    </x:row>
    <x:row r="13">
      <x:c r="A13" t="str">
        <x:v>Cacao</x:v>
      </x:c>
      <x:c r="B13" s="28" t="n">
        <x:v>8</x:v>
      </x:c>
      <x:c r="C13" s="28" t="n">
        <x:v>20</x:v>
      </x:c>
      <x:c r="D13" s="28" t="n">
        <x:v>8</x:v>
      </x:c>
      <x:c r="E13" s="28" t="n">
        <x:f>MAX(0,B13+C13-D13)</x:f>
        <x:v>20</x:v>
      </x:c>
      <x:c r="F13" s="28" t="n">
        <x:f>'Base Values'!I13</x:f>
        <x:v>24.574468085106385</x:v>
      </x:c>
      <x:c r="G13" s="28" t="n">
        <x:f>E13*F13</x:f>
        <x:v>491.4893617021277</x:v>
      </x:c>
      <x:c r="H13" t="str">
        <x:v>Small status/barter edge; should help but not solve everything.</x:v>
      </x:c>
    </x:row>
    <x:row r="14">
      <x:c r="A14" t="str">
        <x:v>Fine textiles</x:v>
      </x:c>
      <x:c r="B14" s="28" t="n">
        <x:v>1</x:v>
      </x:c>
      <x:c r="C14" s="28" t="n">
        <x:v>0</x:v>
      </x:c>
      <x:c r="D14" s="28" t="n">
        <x:v>1</x:v>
      </x:c>
      <x:c r="E14" s="28" t="n">
        <x:f>MAX(0,B14+C14-D14)</x:f>
        <x:v>0</x:v>
      </x:c>
      <x:c r="F14" s="28" t="n">
        <x:f>'Base Values'!I14</x:f>
        <x:v>105</x:v>
      </x:c>
      <x:c r="G14" s="28" t="n">
        <x:f>E14*F14</x:f>
        <x:v>0</x:v>
      </x:c>
      <x:c r="H14" t="str">
        <x:v>Kept for noble/status reserve.</x:v>
      </x:c>
    </x:row>
    <x:row r="15">
      <x:c r="B15" s="28"/>
      <x:c r="C15" s="28"/>
      <x:c r="D15" s="28"/>
      <x:c r="E15" s="28"/>
      <x:c r="F15" s="28"/>
      <x:c r="G15" s="28"/>
    </x:row>
    <x:row r="16">
      <x:c r="A16" t="str">
        <x:v>Total tradable value</x:v>
      </x:c>
      <x:c r="B16" s="28" t="str"/>
      <x:c r="C16" s="28" t="str"/>
      <x:c r="D16" s="28" t="str"/>
      <x:c r="E16" s="28" t="str"/>
      <x:c r="F16" s="28" t="str"/>
      <x:c r="G16" s="28" t="n">
        <x:f>SUM(G5:G14)</x:f>
        <x:v>1741.2781815779042</x:v>
      </x:c>
    </x:row>
    <x:row r="17">
      <x:c r="A17" t="str">
        <x:v>Conservative spend budget (25%)</x:v>
      </x:c>
      <x:c r="B17" s="28" t="str"/>
      <x:c r="C17" s="28" t="str"/>
      <x:c r="D17" s="28" t="str"/>
      <x:c r="E17" s="28" t="str"/>
      <x:c r="F17" s="28" t="str"/>
      <x:c r="G17" s="28" t="n">
        <x:f>G16*0.25</x:f>
        <x:v>435.31954539447605</x:v>
      </x:c>
    </x:row>
    <x:row r="18">
      <x:c r="A18" t="str">
        <x:v>Aggressive spend budget (50%)</x:v>
      </x:c>
      <x:c r="B18" s="28" t="str"/>
      <x:c r="C18" s="28" t="str"/>
      <x:c r="D18" s="28" t="str"/>
      <x:c r="E18" s="28" t="str"/>
      <x:c r="F18" s="28" t="str"/>
      <x:c r="G18" s="28" t="n">
        <x:f>G16*0.5</x:f>
        <x:v>870.6390907889521</x:v>
      </x:c>
    </x:row>
    <x:row r="21">
      <x:c r="A21" s="80" t="str">
        <x:v>Build option</x:v>
      </x:c>
      <x:c r="B21" s="80" t="str">
        <x:v>Maize</x:v>
      </x:c>
      <x:c r="C21" s="80" t="str">
        <x:v>Wood</x:v>
      </x:c>
      <x:c r="D21" s="80" t="str">
        <x:v>Cotton</x:v>
      </x:c>
      <x:c r="E21" s="80" t="str">
        <x:v>Cloth</x:v>
      </x:c>
      <x:c r="F21" s="80" t="str">
        <x:v>Tools</x:v>
      </x:c>
      <x:c r="G21" s="80" t="str">
        <x:v>Obsidian</x:v>
      </x:c>
      <x:c r="H21" s="80" t="str">
        <x:v>Weapons</x:v>
      </x:c>
      <x:c r="I21" s="80" t="str">
        <x:v>Ritual goods</x:v>
      </x:c>
      <x:c r="J21" s="80" t="str">
        <x:v>Cacao</x:v>
      </x:c>
      <x:c r="K21" s="80" t="str">
        <x:v>Fine textiles</x:v>
      </x:c>
      <x:c r="L21" s="80" t="str">
        <x:v>Base cost</x:v>
      </x:c>
      <x:c r="M21" s="80" t="str">
        <x:v>Scarcity-adjusted cost</x:v>
      </x:c>
      <x:c r="N21" s="80" t="str">
        <x:v>Affordable at 25%?</x:v>
      </x:c>
      <x:c r="O21" s="80" t="str">
        <x:v>Affordable at 50%?</x:v>
      </x:c>
      <x:c r="P21" s="80" t="str">
        <x:v>Purpose</x:v>
      </x:c>
    </x:row>
    <x:row r="22">
      <x:c r="A22" t="str">
        <x:v>Woodcutting Yard</x:v>
      </x:c>
      <x:c r="B22" s="28" t="n">
        <x:v>0</x:v>
      </x:c>
      <x:c r="C22" s="28" t="n">
        <x:v>0</x:v>
      </x:c>
      <x:c r="D22" s="28" t="n">
        <x:v>0</x:v>
      </x:c>
      <x:c r="E22" s="28" t="n">
        <x:v>5</x:v>
      </x:c>
      <x:c r="F22" s="28" t="n">
        <x:v>5</x:v>
      </x:c>
      <x:c r="G22" s="28" t="n">
        <x:v>0</x:v>
      </x:c>
      <x:c r="H22" s="28" t="n">
        <x:v>0</x:v>
      </x:c>
      <x:c r="I22" s="28" t="n">
        <x:v>0</x:v>
      </x:c>
      <x:c r="J22" s="28" t="n">
        <x:v>0</x:v>
      </x:c>
      <x:c r="K22" s="28" t="n">
        <x:v>0</x:v>
      </x:c>
      <x:c r="L22" s="28" t="n">
        <x:f>B22*'Base Values'!$B$5+C22*'Base Values'!$B$6+D22*'Base Values'!$B$7+E22*'Base Values'!$B$8+F22*'Base Values'!$B$9+G22*'Base Values'!$B$10+H22*'Base Values'!$B$11+I22*'Base Values'!$B$12+J22*'Base Values'!$B$13+K22*'Base Values'!$B$14</x:f>
        <x:v>60</x:v>
      </x:c>
      <x:c r="M22" s="28" t="n">
        <x:f>B22*'Base Values'!$I$5+C22*'Base Values'!$I$6+D22*'Base Values'!$I$7+E22*'Base Values'!$I$8+F22*'Base Values'!$I$9+G22*'Base Values'!$I$10+H22*'Base Values'!$I$11+I22*'Base Values'!$I$12+J22*'Base Values'!$I$13+K22*'Base Values'!$I$14</x:f>
        <x:v>58.12397650124579</x:v>
      </x:c>
      <x:c r="N22" s="28" t="str">
        <x:f>IF(M22&lt;=$G$17,"Yes","No")</x:f>
        <x:v>Yes</x:v>
      </x:c>
      <x:c r="O22" s="28" t="str">
        <x:f>IF(M22&lt;=$G$18,"Yes","No")</x:f>
        <x:v>Yes</x:v>
      </x:c>
      <x:c r="P22" t="str">
        <x:v>Adds wood supply; supports construction and tools.</x:v>
      </x:c>
    </x:row>
    <x:row r="23">
      <x:c r="A23" t="str">
        <x:v>Cotton Field</x:v>
      </x:c>
      <x:c r="B23" s="28" t="n">
        <x:v>0</x:v>
      </x:c>
      <x:c r="C23" s="28" t="n">
        <x:v>25</x:v>
      </x:c>
      <x:c r="D23" s="28" t="n">
        <x:v>0</x:v>
      </x:c>
      <x:c r="E23" s="28" t="n">
        <x:v>0</x:v>
      </x:c>
      <x:c r="F23" s="28" t="n">
        <x:v>5</x:v>
      </x:c>
      <x:c r="G23" s="28" t="n">
        <x:v>0</x:v>
      </x:c>
      <x:c r="H23" s="28" t="n">
        <x:v>0</x:v>
      </x:c>
      <x:c r="I23" s="28" t="n">
        <x:v>0</x:v>
      </x:c>
      <x:c r="J23" s="28" t="n">
        <x:v>0</x:v>
      </x:c>
      <x:c r="K23" s="28" t="n">
        <x:v>0</x:v>
      </x:c>
      <x:c r="L23" s="28" t="n">
        <x:f>B23*'Base Values'!$B$5+C23*'Base Values'!$B$6+D23*'Base Values'!$B$7+E23*'Base Values'!$B$8+F23*'Base Values'!$B$9+G23*'Base Values'!$B$10+H23*'Base Values'!$B$11+I23*'Base Values'!$B$12+J23*'Base Values'!$B$13+K23*'Base Values'!$B$14</x:f>
        <x:v>85</x:v>
      </x:c>
      <x:c r="M23" s="28" t="n">
        <x:f>B23*'Base Values'!$I$5+C23*'Base Values'!$I$6+D23*'Base Values'!$I$7+E23*'Base Values'!$I$8+F23*'Base Values'!$I$9+G23*'Base Values'!$I$10+H23*'Base Values'!$I$11+I23*'Base Values'!$I$12+J23*'Base Values'!$I$13+K23*'Base Values'!$I$14</x:f>
        <x:v>70.2090909090909</x:v>
      </x:c>
      <x:c r="N23" s="28" t="str">
        <x:f>IF(M23&lt;=$G$17,"Yes","No")</x:f>
        <x:v>Yes</x:v>
      </x:c>
      <x:c r="O23" s="28" t="str">
        <x:f>IF(M23&lt;=$G$18,"Yes","No")</x:f>
        <x:v>Yes</x:v>
      </x:c>
      <x:c r="P23" t="str">
        <x:v>Adds cotton supply; supports cloth/fine textile route.</x:v>
      </x:c>
    </x:row>
    <x:row r="24">
      <x:c r="A24" t="str">
        <x:v>Cloth Workshop</x:v>
      </x:c>
      <x:c r="B24" s="28" t="n">
        <x:v>0</x:v>
      </x:c>
      <x:c r="C24" s="28" t="n">
        <x:v>40</x:v>
      </x:c>
      <x:c r="D24" s="28" t="n">
        <x:v>20</x:v>
      </x:c>
      <x:c r="E24" s="28" t="n">
        <x:v>0</x:v>
      </x:c>
      <x:c r="F24" s="28" t="n">
        <x:v>10</x:v>
      </x:c>
      <x:c r="G24" s="28" t="n">
        <x:v>0</x:v>
      </x:c>
      <x:c r="H24" s="28" t="n">
        <x:v>0</x:v>
      </x:c>
      <x:c r="I24" s="28" t="n">
        <x:v>0</x:v>
      </x:c>
      <x:c r="J24" s="28" t="n">
        <x:v>0</x:v>
      </x:c>
      <x:c r="K24" s="28" t="n">
        <x:v>0</x:v>
      </x:c>
      <x:c r="L24" s="28" t="n">
        <x:f>B24*'Base Values'!$B$5+C24*'Base Values'!$B$6+D24*'Base Values'!$B$7+E24*'Base Values'!$B$8+F24*'Base Values'!$B$9+G24*'Base Values'!$B$10+H24*'Base Values'!$B$11+I24*'Base Values'!$B$12+J24*'Base Values'!$B$13+K24*'Base Values'!$B$14</x:f>
        <x:v>190</x:v>
      </x:c>
      <x:c r="M24" s="28" t="n">
        <x:f>B24*'Base Values'!$I$5+C24*'Base Values'!$I$6+D24*'Base Values'!$I$7+E24*'Base Values'!$I$8+F24*'Base Values'!$I$9+G24*'Base Values'!$I$10+H24*'Base Values'!$I$11+I24*'Base Values'!$I$12+J24*'Base Values'!$I$13+K24*'Base Values'!$I$14</x:f>
        <x:v>155.4181818181818</x:v>
      </x:c>
      <x:c r="N24" s="28" t="str">
        <x:f>IF(M24&lt;=$G$17,"Yes","No")</x:f>
        <x:v>Yes</x:v>
      </x:c>
      <x:c r="O24" s="28" t="str">
        <x:f>IF(M24&lt;=$G$18,"Yes","No")</x:f>
        <x:v>Yes</x:v>
      </x:c>
      <x:c r="P24" t="str">
        <x:v>First practical textile route; turns cotton into cloth.</x:v>
      </x:c>
    </x:row>
    <x:row r="25">
      <x:c r="A25" t="str">
        <x:v>Advanced Tool Workshop</x:v>
      </x:c>
      <x:c r="B25" s="28" t="n">
        <x:v>0</x:v>
      </x:c>
      <x:c r="C25" s="28" t="n">
        <x:v>40</x:v>
      </x:c>
      <x:c r="D25" s="28" t="n">
        <x:v>0</x:v>
      </x:c>
      <x:c r="E25" s="28" t="n">
        <x:v>10</x:v>
      </x:c>
      <x:c r="F25" s="28" t="n">
        <x:v>0</x:v>
      </x:c>
      <x:c r="G25" s="28" t="n">
        <x:v>0</x:v>
      </x:c>
      <x:c r="H25" s="28" t="n">
        <x:v>0</x:v>
      </x:c>
      <x:c r="I25" s="28" t="n">
        <x:v>0</x:v>
      </x:c>
      <x:c r="J25" s="28" t="n">
        <x:v>0</x:v>
      </x:c>
      <x:c r="K25" s="28" t="n">
        <x:v>0</x:v>
      </x:c>
      <x:c r="L25" s="28" t="n">
        <x:f>B25*'Base Values'!$B$5+C25*'Base Values'!$B$6+D25*'Base Values'!$B$7+E25*'Base Values'!$B$8+F25*'Base Values'!$B$9+G25*'Base Values'!$B$10+H25*'Base Values'!$B$11+I25*'Base Values'!$B$12+J25*'Base Values'!$B$13+K25*'Base Values'!$B$14</x:f>
        <x:v>130</x:v>
      </x:c>
      <x:c r="M25" s="28" t="n">
        <x:f>B25*'Base Values'!$I$5+C25*'Base Values'!$I$6+D25*'Base Values'!$I$7+E25*'Base Values'!$I$8+F25*'Base Values'!$I$9+G25*'Base Values'!$I$10+H25*'Base Values'!$I$11+I25*'Base Values'!$I$12+J25*'Base Values'!$I$13+K25*'Base Values'!$I$14</x:f>
        <x:v>110.82977118430978</x:v>
      </x:c>
      <x:c r="N25" s="28" t="str">
        <x:f>IF(M25&lt;=$G$17,"Yes","No")</x:f>
        <x:v>Yes</x:v>
      </x:c>
      <x:c r="O25" s="28" t="str">
        <x:f>IF(M25&lt;=$G$18,"Yes","No")</x:f>
        <x:v>Yes</x:v>
      </x:c>
      <x:c r="P25" t="str">
        <x:v>Larger tool capacity; reduces dependence on the market.</x:v>
      </x:c>
    </x:row>
    <x:row r="26">
      <x:c r="A26" t="str">
        <x:v>Cacao Garden</x:v>
      </x:c>
      <x:c r="B26" s="28" t="n">
        <x:v>0</x:v>
      </x:c>
      <x:c r="C26" s="28" t="n">
        <x:v>20</x:v>
      </x:c>
      <x:c r="D26" s="28" t="n">
        <x:v>0</x:v>
      </x:c>
      <x:c r="E26" s="28" t="n">
        <x:v>0</x:v>
      </x:c>
      <x:c r="F26" s="28" t="n">
        <x:v>5</x:v>
      </x:c>
      <x:c r="G26" s="28" t="n">
        <x:v>0</x:v>
      </x:c>
      <x:c r="H26" s="28" t="n">
        <x:v>0</x:v>
      </x:c>
      <x:c r="I26" s="28" t="n">
        <x:v>0</x:v>
      </x:c>
      <x:c r="J26" s="28" t="n">
        <x:v>0</x:v>
      </x:c>
      <x:c r="K26" s="28" t="n">
        <x:v>0</x:v>
      </x:c>
      <x:c r="L26" s="28" t="n">
        <x:f>B26*'Base Values'!$B$5+C26*'Base Values'!$B$6+D26*'Base Values'!$B$7+E26*'Base Values'!$B$8+F26*'Base Values'!$B$9+G26*'Base Values'!$B$10+H26*'Base Values'!$B$11+I26*'Base Values'!$B$12+J26*'Base Values'!$B$13+K26*'Base Values'!$B$14</x:f>
        <x:v>75</x:v>
      </x:c>
      <x:c r="M26" s="28" t="n">
        <x:f>B26*'Base Values'!$I$5+C26*'Base Values'!$I$6+D26*'Base Values'!$I$7+E26*'Base Values'!$I$8+F26*'Base Values'!$I$9+G26*'Base Values'!$I$10+H26*'Base Values'!$I$11+I26*'Base Values'!$I$12+J26*'Base Values'!$I$13+K26*'Base Values'!$I$14</x:f>
        <x:v>62.709090909090904</x:v>
      </x:c>
      <x:c r="N26" s="28" t="str">
        <x:f>IF(M26&lt;=$G$17,"Yes","No")</x:f>
        <x:v>Yes</x:v>
      </x:c>
      <x:c r="O26" s="28" t="str">
        <x:f>IF(M26&lt;=$G$18,"Yes","No")</x:f>
        <x:v>Yes</x:v>
      </x:c>
      <x:c r="P26" t="str">
        <x:v>Expands player status/barter identity.</x:v>
      </x:c>
    </x:row>
    <x:row r="27">
      <x:c r="A27" t="str">
        <x:v>Weapon Yard</x:v>
      </x:c>
      <x:c r="B27" s="28" t="n">
        <x:v>0</x:v>
      </x:c>
      <x:c r="C27" s="28" t="n">
        <x:v>50</x:v>
      </x:c>
      <x:c r="D27" s="28" t="n">
        <x:v>0</x:v>
      </x:c>
      <x:c r="E27" s="28" t="n">
        <x:v>10</x:v>
      </x:c>
      <x:c r="F27" s="28" t="n">
        <x:v>15</x:v>
      </x:c>
      <x:c r="G27" s="28" t="n">
        <x:v>10</x:v>
      </x:c>
      <x:c r="H27" s="28" t="n">
        <x:v>0</x:v>
      </x:c>
      <x:c r="I27" s="28" t="n">
        <x:v>0</x:v>
      </x:c>
      <x:c r="J27" s="28" t="n">
        <x:v>0</x:v>
      </x:c>
      <x:c r="K27" s="28" t="n">
        <x:v>0</x:v>
      </x:c>
      <x:c r="L27" s="28" t="n">
        <x:f>B27*'Base Values'!$B$5+C27*'Base Values'!$B$6+D27*'Base Values'!$B$7+E27*'Base Values'!$B$8+F27*'Base Values'!$B$9+G27*'Base Values'!$B$10+H27*'Base Values'!$B$11+I27*'Base Values'!$B$12+J27*'Base Values'!$B$13+K27*'Base Values'!$B$14</x:f>
        <x:v>335</x:v>
      </x:c>
      <x:c r="M27" s="28" t="n">
        <x:f>B27*'Base Values'!$I$5+C27*'Base Values'!$I$6+D27*'Base Values'!$I$7+E27*'Base Values'!$I$8+F27*'Base Values'!$I$9+G27*'Base Values'!$I$10+H27*'Base Values'!$I$11+I27*'Base Values'!$I$12+J27*'Base Values'!$I$13+K27*'Base Values'!$I$14</x:f>
        <x:v>283.9570439115825</x:v>
      </x:c>
      <x:c r="N27" s="28" t="str">
        <x:f>IF(M27&lt;=$G$17,"Yes","No")</x:f>
        <x:v>Yes</x:v>
      </x:c>
      <x:c r="O27" s="28" t="str">
        <x:f>IF(M27&lt;=$G$18,"Yes","No")</x:f>
        <x:v>Yes</x:v>
      </x:c>
      <x:c r="P27" t="str">
        <x:v>War path; enables weapons but is expensive.</x:v>
      </x:c>
    </x:row>
    <x:row r="28">
      <x:c r="A28" t="str">
        <x:v>Ritual Workshop</x:v>
      </x:c>
      <x:c r="B28" s="28" t="n">
        <x:v>0</x:v>
      </x:c>
      <x:c r="C28" s="28" t="n">
        <x:v>30</x:v>
      </x:c>
      <x:c r="D28" s="28" t="n">
        <x:v>0</x:v>
      </x:c>
      <x:c r="E28" s="28" t="n">
        <x:v>10</x:v>
      </x:c>
      <x:c r="F28" s="28" t="n">
        <x:v>10</x:v>
      </x:c>
      <x:c r="G28" s="28" t="n">
        <x:v>0</x:v>
      </x:c>
      <x:c r="H28" s="28" t="n">
        <x:v>0</x:v>
      </x:c>
      <x:c r="I28" s="28" t="n">
        <x:v>0</x:v>
      </x:c>
      <x:c r="J28" s="28" t="n">
        <x:v>3</x:v>
      </x:c>
      <x:c r="K28" s="28" t="n">
        <x:v>0</x:v>
      </x:c>
      <x:c r="L28" s="28" t="n">
        <x:f>B28*'Base Values'!$B$5+C28*'Base Values'!$B$6+D28*'Base Values'!$B$7+E28*'Base Values'!$B$8+F28*'Base Values'!$B$9+G28*'Base Values'!$B$10+H28*'Base Values'!$B$11+I28*'Base Values'!$B$12+J28*'Base Values'!$B$13+K28*'Base Values'!$B$14</x:f>
        <x:v>225</x:v>
      </x:c>
      <x:c r="M28" s="28" t="n">
        <x:f>B28*'Base Values'!$I$5+C28*'Base Values'!$I$6+D28*'Base Values'!$I$7+E28*'Base Values'!$I$8+F28*'Base Values'!$I$9+G28*'Base Values'!$I$10+H28*'Base Values'!$I$11+I28*'Base Values'!$I$12+J28*'Base Values'!$I$13+K28*'Base Values'!$I$14</x:f>
        <x:v>234.97135725781072</x:v>
      </x:c>
      <x:c r="N28" s="28" t="str">
        <x:f>IF(M28&lt;=$G$17,"Yes","No")</x:f>
        <x:v>Yes</x:v>
      </x:c>
      <x:c r="O28" s="28" t="str">
        <x:f>IF(M28&lt;=$G$18,"Yes","No")</x:f>
        <x:v>Yes</x:v>
      </x:c>
      <x:c r="P28" t="str">
        <x:v>Priest/offering path; uses cacao and practical goods.</x:v>
      </x:c>
    </x:row>
    <x:row r="29">
      <x:c r="A29" t="str">
        <x:v>Fine Textile House</x:v>
      </x:c>
      <x:c r="B29" s="28" t="n">
        <x:v>0</x:v>
      </x:c>
      <x:c r="C29" s="28" t="n">
        <x:v>40</x:v>
      </x:c>
      <x:c r="D29" s="28" t="n">
        <x:v>25</x:v>
      </x:c>
      <x:c r="E29" s="28" t="n">
        <x:v>0</x:v>
      </x:c>
      <x:c r="F29" s="28" t="n">
        <x:v>10</x:v>
      </x:c>
      <x:c r="G29" s="28" t="n">
        <x:v>0</x:v>
      </x:c>
      <x:c r="H29" s="28" t="n">
        <x:v>0</x:v>
      </x:c>
      <x:c r="I29" s="28" t="n">
        <x:v>0</x:v>
      </x:c>
      <x:c r="J29" s="28" t="n">
        <x:v>3</x:v>
      </x:c>
      <x:c r="K29" s="28" t="n">
        <x:v>0</x:v>
      </x:c>
      <x:c r="L29" s="28" t="n">
        <x:f>B29*'Base Values'!$B$5+C29*'Base Values'!$B$6+D29*'Base Values'!$B$7+E29*'Base Values'!$B$8+F29*'Base Values'!$B$9+G29*'Base Values'!$B$10+H29*'Base Values'!$B$11+I29*'Base Values'!$B$12+J29*'Base Values'!$B$13+K29*'Base Values'!$B$14</x:f>
        <x:v>245</x:v>
      </x:c>
      <x:c r="M29" s="28" t="n">
        <x:f>B29*'Base Values'!$I$5+C29*'Base Values'!$I$6+D29*'Base Values'!$I$7+E29*'Base Values'!$I$8+F29*'Base Values'!$I$9+G29*'Base Values'!$I$10+H29*'Base Values'!$I$11+I29*'Base Values'!$I$12+J29*'Base Values'!$I$13+K29*'Base Values'!$I$14</x:f>
        <x:v>236.64158607350095</x:v>
      </x:c>
      <x:c r="N29" s="28" t="str">
        <x:f>IF(M29&lt;=$G$17,"Yes","No")</x:f>
        <x:v>Yes</x:v>
      </x:c>
      <x:c r="O29" s="28" t="str">
        <x:f>IF(M29&lt;=$G$18,"Yes","No")</x:f>
        <x:v>Yes</x:v>
      </x:c>
      <x:c r="P29" t="str">
        <x:v>Diplomatic/status path; expensive but prestige-relevant.</x:v>
      </x:c>
    </x:row>
    <x:row r="30">
      <x:c r="A30" t="str">
        <x:v>Commoner Housing</x:v>
      </x:c>
      <x:c r="B30" s="28" t="n">
        <x:v>0</x:v>
      </x:c>
      <x:c r="C30" s="28" t="n">
        <x:v>40</x:v>
      </x:c>
      <x:c r="D30" s="28" t="n">
        <x:v>0</x:v>
      </x:c>
      <x:c r="E30" s="28" t="n">
        <x:v>10</x:v>
      </x:c>
      <x:c r="F30" s="28" t="n">
        <x:v>0</x:v>
      </x:c>
      <x:c r="G30" s="28" t="n">
        <x:v>0</x:v>
      </x:c>
      <x:c r="H30" s="28" t="n">
        <x:v>0</x:v>
      </x:c>
      <x:c r="I30" s="28" t="n">
        <x:v>0</x:v>
      </x:c>
      <x:c r="J30" s="28" t="n">
        <x:v>0</x:v>
      </x:c>
      <x:c r="K30" s="28" t="n">
        <x:v>0</x:v>
      </x:c>
      <x:c r="L30" s="28" t="n">
        <x:f>B30*'Base Values'!$B$5+C30*'Base Values'!$B$6+D30*'Base Values'!$B$7+E30*'Base Values'!$B$8+F30*'Base Values'!$B$9+G30*'Base Values'!$B$10+H30*'Base Values'!$B$11+I30*'Base Values'!$B$12+J30*'Base Values'!$B$13+K30*'Base Values'!$B$14</x:f>
        <x:v>130</x:v>
      </x:c>
      <x:c r="M30" s="28" t="n">
        <x:f>B30*'Base Values'!$I$5+C30*'Base Values'!$I$6+D30*'Base Values'!$I$7+E30*'Base Values'!$I$8+F30*'Base Values'!$I$9+G30*'Base Values'!$I$10+H30*'Base Values'!$I$11+I30*'Base Values'!$I$12+J30*'Base Values'!$I$13+K30*'Base Values'!$I$14</x:f>
        <x:v>110.82977118430978</x:v>
      </x:c>
      <x:c r="N30" s="28" t="str">
        <x:f>IF(M30&lt;=$G$17,"Yes","No")</x:f>
        <x:v>Yes</x:v>
      </x:c>
      <x:c r="O30" s="28" t="str">
        <x:f>IF(M30&lt;=$G$18,"Yes","No")</x:f>
        <x:v>Yes</x:v>
      </x:c>
      <x:c r="P30" t="str">
        <x:v>Population expansion support.</x:v>
      </x:c>
    </x:row>
    <x:row r="31">
      <x:c r="A31" t="str">
        <x:v>Warrior House</x:v>
      </x:c>
      <x:c r="B31" s="28" t="n">
        <x:v>0</x:v>
      </x:c>
      <x:c r="C31" s="28" t="n">
        <x:v>30</x:v>
      </x:c>
      <x:c r="D31" s="28" t="n">
        <x:v>0</x:v>
      </x:c>
      <x:c r="E31" s="28" t="n">
        <x:v>10</x:v>
      </x:c>
      <x:c r="F31" s="28" t="n">
        <x:v>0</x:v>
      </x:c>
      <x:c r="G31" s="28" t="n">
        <x:v>0</x:v>
      </x:c>
      <x:c r="H31" s="28" t="n">
        <x:v>5</x:v>
      </x:c>
      <x:c r="I31" s="28" t="n">
        <x:v>0</x:v>
      </x:c>
      <x:c r="J31" s="28" t="n">
        <x:v>0</x:v>
      </x:c>
      <x:c r="K31" s="28" t="n">
        <x:v>0</x:v>
      </x:c>
      <x:c r="L31" s="28" t="n">
        <x:f>B31*'Base Values'!$B$5+C31*'Base Values'!$B$6+D31*'Base Values'!$B$7+E31*'Base Values'!$B$8+F31*'Base Values'!$B$9+G31*'Base Values'!$B$10+H31*'Base Values'!$B$11+I31*'Base Values'!$B$12+J31*'Base Values'!$B$13+K31*'Base Values'!$B$14</x:f>
        <x:v>200</x:v>
      </x:c>
      <x:c r="M31" s="28" t="n">
        <x:f>B31*'Base Values'!$I$5+C31*'Base Values'!$I$6+D31*'Base Values'!$I$7+E31*'Base Values'!$I$8+F31*'Base Values'!$I$9+G31*'Base Values'!$I$10+H31*'Base Values'!$I$11+I31*'Base Values'!$I$12+J31*'Base Values'!$I$13+K31*'Base Values'!$I$14</x:f>
        <x:v>365.8297711843098</x:v>
      </x:c>
      <x:c r="N31" s="28" t="str">
        <x:f>IF(M31&lt;=$G$17,"Yes","No")</x:f>
        <x:v>Yes</x:v>
      </x:c>
      <x:c r="O31" s="28" t="str">
        <x:f>IF(M31&lt;=$G$18,"Yes","No")</x:f>
        <x:v>Yes</x:v>
      </x:c>
      <x:c r="P31" t="str">
        <x:v>Warrior support for Flower Wars readiness.</x:v>
      </x:c>
    </x:row>
    <x:row r="32">
      <x:c r="A32" t="str">
        <x:v>Priest House</x:v>
      </x:c>
      <x:c r="B32" s="28" t="n">
        <x:v>0</x:v>
      </x:c>
      <x:c r="C32" s="28" t="n">
        <x:v>20</x:v>
      </x:c>
      <x:c r="D32" s="28" t="n">
        <x:v>0</x:v>
      </x:c>
      <x:c r="E32" s="28" t="n">
        <x:v>5</x:v>
      </x:c>
      <x:c r="F32" s="28" t="n">
        <x:v>0</x:v>
      </x:c>
      <x:c r="G32" s="28" t="n">
        <x:v>0</x:v>
      </x:c>
      <x:c r="H32" s="28" t="n">
        <x:v>0</x:v>
      </x:c>
      <x:c r="I32" s="28" t="n">
        <x:v>2</x:v>
      </x:c>
      <x:c r="J32" s="28" t="n">
        <x:v>0</x:v>
      </x:c>
      <x:c r="K32" s="28" t="n">
        <x:v>0</x:v>
      </x:c>
      <x:c r="L32" s="28" t="n">
        <x:f>B32*'Base Values'!$B$5+C32*'Base Values'!$B$6+D32*'Base Values'!$B$7+E32*'Base Values'!$B$8+F32*'Base Values'!$B$9+G32*'Base Values'!$B$10+H32*'Base Values'!$B$11+I32*'Base Values'!$B$12+J32*'Base Values'!$B$13+K32*'Base Values'!$B$14</x:f>
        <x:v>89</x:v>
      </x:c>
      <x:c r="M32" s="28" t="n">
        <x:f>B32*'Base Values'!$I$5+C32*'Base Values'!$I$6+D32*'Base Values'!$I$7+E32*'Base Values'!$I$8+F32*'Base Values'!$I$9+G32*'Base Values'!$I$10+H32*'Base Values'!$I$11+I32*'Base Values'!$I$12+J32*'Base Values'!$I$13+K32*'Base Values'!$I$14</x:f>
        <x:v>82.35366110235897</x:v>
      </x:c>
      <x:c r="N32" s="28" t="str">
        <x:f>IF(M32&lt;=$G$17,"Yes","No")</x:f>
        <x:v>Yes</x:v>
      </x:c>
      <x:c r="O32" s="28" t="str">
        <x:f>IF(M32&lt;=$G$18,"Yes","No")</x:f>
        <x:v>Yes</x:v>
      </x:c>
      <x:c r="P32" t="str">
        <x:v>Supports Tlamacazqueh and shrine use.</x:v>
      </x:c>
    </x:row>
    <x:row r="33">
      <x:c r="A33" t="str">
        <x:v>Noble Residence</x:v>
      </x:c>
      <x:c r="B33" s="28" t="n">
        <x:v>0</x:v>
      </x:c>
      <x:c r="C33" s="28" t="n">
        <x:v>25</x:v>
      </x:c>
      <x:c r="D33" s="28" t="n">
        <x:v>0</x:v>
      </x:c>
      <x:c r="E33" s="28" t="n">
        <x:v>10</x:v>
      </x:c>
      <x:c r="F33" s="28" t="n">
        <x:v>0</x:v>
      </x:c>
      <x:c r="G33" s="28" t="n">
        <x:v>0</x:v>
      </x:c>
      <x:c r="H33" s="28" t="n">
        <x:v>0</x:v>
      </x:c>
      <x:c r="I33" s="28" t="n">
        <x:v>0</x:v>
      </x:c>
      <x:c r="J33" s="28" t="n">
        <x:v>3</x:v>
      </x:c>
      <x:c r="K33" s="28" t="n">
        <x:v>1</x:v>
      </x:c>
      <x:c r="L33" s="28" t="n">
        <x:f>B33*'Base Values'!$B$5+C33*'Base Values'!$B$6+D33*'Base Values'!$B$7+E33*'Base Values'!$B$8+F33*'Base Values'!$B$9+G33*'Base Values'!$B$10+H33*'Base Values'!$B$11+I33*'Base Values'!$B$12+J33*'Base Values'!$B$13+K33*'Base Values'!$B$14</x:f>
        <x:v>180</x:v>
      </x:c>
      <x:c r="M33" s="28" t="n">
        <x:f>B33*'Base Values'!$I$5+C33*'Base Values'!$I$6+D33*'Base Values'!$I$7+E33*'Base Values'!$I$8+F33*'Base Values'!$I$9+G33*'Base Values'!$I$10+H33*'Base Values'!$I$11+I33*'Base Values'!$I$12+J33*'Base Values'!$I$13+K33*'Base Values'!$I$14</x:f>
        <x:v>267.05317543962894</x:v>
      </x:c>
      <x:c r="N33" s="28" t="str">
        <x:f>IF(M33&lt;=$G$17,"Yes","No")</x:f>
        <x:v>Yes</x:v>
      </x:c>
      <x:c r="O33" s="28" t="str">
        <x:f>IF(M33&lt;=$G$18,"Yes","No")</x:f>
        <x:v>Yes</x:v>
      </x:c>
      <x:c r="P33" t="str">
        <x:v>Supports Pipiltin and palace/status actions.</x:v>
      </x:c>
    </x:row>
    <x:row r="34"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</x:row>
    <x:row r="35"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</x:row>
    <x:row r="36"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</x:row>
    <x:row r="37"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</x:row>
    <x:row r="38"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</x:row>
    <x:row r="39"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</x:row>
    <x:row r="40"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</x:row>
  </x:sheetData>
  <x:conditionalFormatting sqref="N22:O40">
    <x:cfRule type="expression" dxfId="8" priority="1">
      <x:formula>N22="Yes"</x:formula>
    </x:cfRule>
    <x:cfRule type="expression" dxfId="9" priority="2">
      <x:formula>N22="No"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5.22000122070312" hidden="0" customWidth="1"/>
    <x:col min="2" max="2" width="78.05999755859375" hidden="0" customWidth="1"/>
    <x:col min="3" max="3" width="7.539999961853027" hidden="0" customWidth="1"/>
    <x:col min="4" max="4" width="17.6299991607666" hidden="0" customWidth="1"/>
    <x:col min="5" max="5" width="24.899999618530273" hidden="0" customWidth="1"/>
    <x:col min="6" max="6" width="21.670000076293945" hidden="0" customWidth="1"/>
    <x:col min="7" max="7" width="21.670000076293945" hidden="0" customWidth="1"/>
    <x:col min="8" max="8" width="49.130001068115234" hidden="0" customWidth="1"/>
    <x:col min="11" max="11" width="28" hidden="0" customWidth="1"/>
    <x:col min="16" max="16" width="28" hidden="0" customWidth="1"/>
  </x:cols>
  <x:sheetData>
    <x:row r="1">
      <x:c r="A1" s="79" t="str">
        <x:v>First-Year Strategy Affordability Summary — v0.10 Scaled Scarcity</x:v>
      </x:c>
      <x:c r="B1" s="79"/>
      <x:c r="C1" s="79"/>
      <x:c r="D1" s="79"/>
      <x:c r="E1" s="79"/>
      <x:c r="F1" s="79"/>
      <x:c r="G1" s="79"/>
      <x:c r="H1" s="79"/>
      <x:c r="I1" s="74" t="str"/>
      <x:c r="J1" s="74"/>
      <x:c r="K1" s="74"/>
    </x:row>
    <x:row r="2">
      <x:c r="A2" s="76" t="str">
        <x:v>Costs use base barter values and continuous scarcity multipliers from projected market coverage. This tests whether the player can expand in Year 1, not whether a strategy is optimal.</x:v>
      </x:c>
      <x:c r="B2" s="76"/>
      <x:c r="C2" s="76"/>
      <x:c r="D2" s="76"/>
      <x:c r="E2" s="76"/>
      <x:c r="F2" s="76"/>
      <x:c r="G2" s="76"/>
      <x:c r="H2" s="76"/>
      <x:c r="I2" s="76" t="str"/>
      <x:c r="J2" s="76"/>
      <x:c r="K2" s="76"/>
    </x:row>
    <x:row r="4">
      <x:c r="A4" s="80" t="str">
        <x:v>Strategy package</x:v>
      </x:c>
      <x:c r="B4" s="80" t="str">
        <x:v>Buildings included</x:v>
      </x:c>
      <x:c r="C4" s="80" t="str">
        <x:v>Base cost</x:v>
      </x:c>
      <x:c r="D4" s="80" t="str">
        <x:v>Scarcity-adjusted cost</x:v>
      </x:c>
      <x:c r="E4" s="80" t="str">
        <x:v>Share of annual tradable value</x:v>
      </x:c>
      <x:c r="F4" s="80" t="str">
        <x:v>Affordable at 25% budget?</x:v>
      </x:c>
      <x:c r="G4" s="80" t="str">
        <x:v>Affordable at 50% budget?</x:v>
      </x:c>
      <x:c r="H4" s="80" t="str">
        <x:v>Read</x:v>
      </x:c>
    </x:row>
    <x:row r="5">
      <x:c r="A5" t="str">
        <x:v>Practical textile route</x:v>
      </x:c>
      <x:c r="B5" t="str">
        <x:v>Cotton Field + Cloth Workshop</x:v>
      </x:c>
      <x:c r="C5" s="28" t="n">
        <x:f>SUMIF('Player Expansion Test'!$A$22:$A$40,"Cotton Field",'Player Expansion Test'!$L$22:$L$40)+SUMIF('Player Expansion Test'!$A$22:$A$40,"Cloth Workshop",'Player Expansion Test'!$L$22:$L$40)</x:f>
        <x:v>275</x:v>
      </x:c>
      <x:c r="D5" s="28" t="n">
        <x:f>SUMIF('Player Expansion Test'!$A$22:$A$40,"Cotton Field",'Player Expansion Test'!$M$22:$M$40)+SUMIF('Player Expansion Test'!$A$22:$A$40,"Cloth Workshop",'Player Expansion Test'!$M$22:$M$40)</x:f>
        <x:v>225.62727272727273</x:v>
      </x:c>
      <x:c r="E5" s="28" t="n">
        <x:f>D5/'Player Expansion Test'!$G$16</x:f>
        <x:v>0.129575661783584</x:v>
      </x:c>
      <x:c r="F5" t="str">
        <x:f>IF(D5&lt;='Player Expansion Test'!$G$17,"Yes","No")</x:f>
        <x:v>Yes</x:v>
      </x:c>
      <x:c r="G5" t="str">
        <x:f>IF(D5&lt;='Player Expansion Test'!$G$18,"Yes","No")</x:f>
        <x:v>Yes</x:v>
      </x:c>
      <x:c r="H5" t="str">
        <x:v>Likely first practical route if cloth remains important.</x:v>
      </x:c>
    </x:row>
    <x:row r="6">
      <x:c r="A6" t="str">
        <x:v>Tool independence route</x:v>
      </x:c>
      <x:c r="B6" t="str">
        <x:v>Woodcutting Yard + Advanced Tool Workshop</x:v>
      </x:c>
      <x:c r="C6" s="28" t="n">
        <x:f>SUMIF('Player Expansion Test'!$A$22:$A$40,"Woodcutting Yard",'Player Expansion Test'!$L$22:$L$40)+SUMIF('Player Expansion Test'!$A$22:$A$40,"Advanced Tool Workshop",'Player Expansion Test'!$L$22:$L$40)</x:f>
        <x:v>190</x:v>
      </x:c>
      <x:c r="D6" s="28" t="n">
        <x:f>SUMIF('Player Expansion Test'!$A$22:$A$40,"Woodcutting Yard",'Player Expansion Test'!$M$22:$M$40)+SUMIF('Player Expansion Test'!$A$22:$A$40,"Advanced Tool Workshop",'Player Expansion Test'!$M$22:$M$40)</x:f>
        <x:v>168.95374768555558</x:v>
      </x:c>
      <x:c r="E6" s="28" t="n">
        <x:f>D6/'Player Expansion Test'!$G$16</x:f>
        <x:v>0.09702857904786573</x:v>
      </x:c>
      <x:c r="F6" t="str">
        <x:f>IF(D6&lt;='Player Expansion Test'!$G$17,"Yes","No")</x:f>
        <x:v>Yes</x:v>
      </x:c>
      <x:c r="G6" t="str">
        <x:f>IF(D6&lt;='Player Expansion Test'!$G$18,"Yes","No")</x:f>
        <x:v>Yes</x:v>
      </x:c>
      <x:c r="H6" t="str">
        <x:v>Good if tool scarcity returns or construction ramps up.</x:v>
      </x:c>
    </x:row>
    <x:row r="7">
      <x:c r="A7" t="str">
        <x:v>Maize/cacao consolidation</x:v>
      </x:c>
      <x:c r="B7" t="str">
        <x:v>Cacao Garden + Commoner Housing</x:v>
      </x:c>
      <x:c r="C7" s="28" t="n">
        <x:f>SUMIF('Player Expansion Test'!$A$22:$A$40,"Cacao Garden",'Player Expansion Test'!$L$22:$L$40)+SUMIF('Player Expansion Test'!$A$22:$A$40,"Commoner Housing",'Player Expansion Test'!$L$22:$L$40)</x:f>
        <x:v>205</x:v>
      </x:c>
      <x:c r="D7" s="28" t="n">
        <x:f>SUMIF('Player Expansion Test'!$A$22:$A$40,"Cacao Garden",'Player Expansion Test'!$M$22:$M$40)+SUMIF('Player Expansion Test'!$A$22:$A$40,"Commoner Housing",'Player Expansion Test'!$M$22:$M$40)</x:f>
        <x:v>173.53886209340067</x:v>
      </x:c>
      <x:c r="E7" s="28" t="n">
        <x:f>D7/'Player Expansion Test'!$G$16</x:f>
        <x:v>0.0996617679641193</x:v>
      </x:c>
      <x:c r="F7" t="str">
        <x:f>IF(D7&lt;='Player Expansion Test'!$G$17,"Yes","No")</x:f>
        <x:v>Yes</x:v>
      </x:c>
      <x:c r="G7" t="str">
        <x:f>IF(D7&lt;='Player Expansion Test'!$G$18,"Yes","No")</x:f>
        <x:v>Yes</x:v>
      </x:c>
      <x:c r="H7" t="str">
        <x:v>Strengthens player’s starting identity and population support.</x:v>
      </x:c>
    </x:row>
    <x:row r="8">
      <x:c r="A8" t="str">
        <x:v>War route</x:v>
      </x:c>
      <x:c r="B8" t="str">
        <x:v>Weapon Yard + Warrior House</x:v>
      </x:c>
      <x:c r="C8" s="28" t="n">
        <x:f>SUMIF('Player Expansion Test'!$A$22:$A$40,"Weapon Yard",'Player Expansion Test'!$L$22:$L$40)+SUMIF('Player Expansion Test'!$A$22:$A$40,"Warrior House",'Player Expansion Test'!$L$22:$L$40)</x:f>
        <x:v>535</x:v>
      </x:c>
      <x:c r="D8" s="28" t="n">
        <x:f>SUMIF('Player Expansion Test'!$A$22:$A$40,"Weapon Yard",'Player Expansion Test'!$M$22:$M$40)+SUMIF('Player Expansion Test'!$A$22:$A$40,"Warrior House",'Player Expansion Test'!$M$22:$M$40)</x:f>
        <x:v>649.7868150958923</x:v>
      </x:c>
      <x:c r="E8" s="28" t="n">
        <x:f>D8/'Player Expansion Test'!$G$16</x:f>
        <x:v>0.37316657497371913</x:v>
      </x:c>
      <x:c r="F8" t="str">
        <x:f>IF(D8&lt;='Player Expansion Test'!$G$17,"Yes","No")</x:f>
        <x:v>No</x:v>
      </x:c>
      <x:c r="G8" t="str">
        <x:f>IF(D8&lt;='Player Expansion Test'!$G$18,"Yes","No")</x:f>
        <x:v>Yes</x:v>
      </x:c>
      <x:c r="H8" t="str">
        <x:v>Should be expensive; not automatic in Year 1.</x:v>
      </x:c>
    </x:row>
    <x:row r="9">
      <x:c r="A9" t="str">
        <x:v>Ritual/status route</x:v>
      </x:c>
      <x:c r="B9" t="str">
        <x:v>Ritual Workshop + Priest House</x:v>
      </x:c>
      <x:c r="C9" s="28" t="n">
        <x:f>SUMIF('Player Expansion Test'!$A$22:$A$40,"Ritual Workshop",'Player Expansion Test'!$L$22:$L$40)+SUMIF('Player Expansion Test'!$A$22:$A$40,"Priest House",'Player Expansion Test'!$L$22:$L$40)</x:f>
        <x:v>314</x:v>
      </x:c>
      <x:c r="D9" s="28" t="n">
        <x:f>SUMIF('Player Expansion Test'!$A$22:$A$40,"Ritual Workshop",'Player Expansion Test'!$M$22:$M$40)+SUMIF('Player Expansion Test'!$A$22:$A$40,"Priest House",'Player Expansion Test'!$M$22:$M$40)</x:f>
        <x:v>317.3250183601697</x:v>
      </x:c>
      <x:c r="E9" s="28" t="n">
        <x:f>D9/'Player Expansion Test'!$G$16</x:f>
        <x:v>0.18223683137901459</x:v>
      </x:c>
      <x:c r="F9" t="str">
        <x:f>IF(D9&lt;='Player Expansion Test'!$G$17,"Yes","No")</x:f>
        <x:v>Yes</x:v>
      </x:c>
      <x:c r="G9" t="str">
        <x:f>IF(D9&lt;='Player Expansion Test'!$G$18,"Yes","No")</x:f>
        <x:v>Yes</x:v>
      </x:c>
      <x:c r="H9" t="str">
        <x:v>Early offerings/divine favour path.</x:v>
      </x:c>
    </x:row>
    <x:row r="10">
      <x:c r="A10" t="str">
        <x:v>Diplomatic status route</x:v>
      </x:c>
      <x:c r="B10" t="str">
        <x:v>Fine Textile House + Noble Residence</x:v>
      </x:c>
      <x:c r="C10" s="28" t="n">
        <x:f>SUMIF('Player Expansion Test'!$A$22:$A$40,"Fine Textile House",'Player Expansion Test'!$L$22:$L$40)+SUMIF('Player Expansion Test'!$A$22:$A$40,"Noble Residence",'Player Expansion Test'!$L$22:$L$40)</x:f>
        <x:v>425</x:v>
      </x:c>
      <x:c r="D10" s="28" t="n">
        <x:f>SUMIF('Player Expansion Test'!$A$22:$A$40,"Fine Textile House",'Player Expansion Test'!$M$22:$M$40)+SUMIF('Player Expansion Test'!$A$22:$A$40,"Noble Residence",'Player Expansion Test'!$M$22:$M$40)</x:f>
        <x:v>503.6947615131299</x:v>
      </x:c>
      <x:c r="E10" s="28" t="n">
        <x:f>D10/'Player Expansion Test'!$G$16</x:f>
        <x:v>0.28926725599736963</x:v>
      </x:c>
      <x:c r="F10" t="str">
        <x:f>IF(D10&lt;='Player Expansion Test'!$G$17,"Yes","No")</x:f>
        <x:v>No</x:v>
      </x:c>
      <x:c r="G10" t="str">
        <x:f>IF(D10&lt;='Player Expansion Test'!$G$18,"Yes","No")</x:f>
        <x:v>Yes</x:v>
      </x:c>
      <x:c r="H10" t="str">
        <x:v>Should be the hardest Year 1 prestige route.</x:v>
      </x:c>
    </x:row>
    <x:row r="13">
      <x:c r="A13" s="78" t="str">
        <x:v>Key diagnostic</x:v>
      </x:c>
      <x:c r="B13" s="78" t="str">
        <x:v>Formula / interpretation</x:v>
      </x:c>
    </x:row>
    <x:row r="14">
      <x:c r="A14" t="str">
        <x:v>Cheapest scarcity-adjusted route</x:v>
      </x:c>
      <x:c r="B14" t="str">
        <x:f>INDEX(A5:A10,MATCH(MIN(D5:D10),D5:D10,0))</x:f>
        <x:v>Tool independence route</x:v>
      </x:c>
    </x:row>
    <x:row r="15">
      <x:c r="A15" t="str">
        <x:v>Most expensive scarcity-adjusted route</x:v>
      </x:c>
      <x:c r="B15" s="28" t="str">
        <x:f>INDEX(A5:A10,MATCH(MAX(D5:D10),D5:D10,0))</x:f>
        <x:v>War route</x:v>
      </x:c>
    </x:row>
    <x:row r="16">
      <x:c r="A16" t="str">
        <x:v>Annual tradable value</x:v>
      </x:c>
      <x:c r="B16" s="28" t="n">
        <x:f>'Player Expansion Test'!G16</x:f>
        <x:v>1741.2781815779042</x:v>
      </x:c>
    </x:row>
    <x:row r="17">
      <x:c r="A17" t="str">
        <x:v>25% spend budget</x:v>
      </x:c>
      <x:c r="B17" s="28" t="n">
        <x:f>'Player Expansion Test'!G17</x:f>
        <x:v>435.31954539447605</x:v>
      </x:c>
    </x:row>
    <x:row r="18">
      <x:c r="A18" t="str">
        <x:v>50% spend budget</x:v>
      </x:c>
      <x:c r="B18" s="28" t="n">
        <x:f>'Player Expansion Test'!G18</x:f>
        <x:v>870.6390907889521</x:v>
      </x:c>
    </x:row>
    <x:row r="19">
      <x:c r="A19" t="str">
        <x:v>Design target</x:v>
      </x:c>
      <x:c r="B19" t="str">
        <x:v>Player should afford one practical route with 25–50% of tradable surplus, but not all major routes.</x:v>
      </x:c>
    </x:row>
  </x:sheetData>
  <x:conditionalFormatting sqref="F5:G10">
    <x:cfRule type="expression" dxfId="10" priority="1">
      <x:formula>F5="Yes"</x:formula>
    </x:cfRule>
    <x:cfRule type="expression" dxfId="11" priority="2">
      <x:formula>F5="No"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0" hidden="0" customWidth="1"/>
    <x:col min="4" max="4" width="24" hidden="0" customWidth="1"/>
    <x:col min="5" max="5" width="34" hidden="0" customWidth="1"/>
    <x:col min="6" max="6" width="30" hidden="0" customWidth="1"/>
    <x:col min="7" max="7" width="34" hidden="0" customWidth="1"/>
    <x:col min="8" max="8" width="28" hidden="0" customWidth="1"/>
    <x:col min="9" max="9" width="30" hidden="0" customWidth="1"/>
    <x:col min="10" max="10" width="28" hidden="0" customWidth="1"/>
    <x:col min="11" max="11" width="38" hidden="0" customWidth="1"/>
  </x:cols>
  <x:sheetData>
    <x:row r="1" ht="28" customHeight="1">
      <x:c r="A1" s="89" t="str">
        <x:v>Prototype 0 Rival Build Orders — v0.11</x:v>
      </x:c>
    </x:row>
    <x:row r="3">
      <x:c r="A3" s="92" t="str">
        <x:v>Purpose</x:v>
      </x:c>
      <x:c r="B3" s="92" t="str">
        <x:v>Defines rival objectives as concrete build orders with procurement, hoarding, surplus and market-behaviour rules.</x:v>
      </x:c>
      <x:c r="C3" s="30"/>
      <x:c r="D3" s="30"/>
      <x:c r="E3" s="30"/>
      <x:c r="F3" s="30"/>
      <x:c r="G3" s="30"/>
      <x:c r="H3" s="30"/>
      <x:c r="I3" s="30"/>
      <x:c r="J3" s="30"/>
      <x:c r="K3" s="30"/>
    </x:row>
    <x:row r="4">
      <x:c r="A4" s="30"/>
      <x:c r="B4" s="30"/>
      <x:c r="C4" s="30"/>
      <x:c r="D4" s="30"/>
      <x:c r="E4" s="30"/>
      <x:c r="F4" s="30"/>
      <x:c r="G4" s="30"/>
      <x:c r="H4" s="30"/>
      <x:c r="I4" s="30"/>
      <x:c r="J4" s="30"/>
      <x:c r="K4" s="30"/>
    </x:row>
    <x:row r="5">
      <x:c r="A5" s="107" t="str">
        <x:v>Core Rival Economy Resolution Order</x:v>
      </x:c>
      <x:c r="B5" s="108" t="str"/>
      <x:c r="C5" s="30"/>
      <x:c r="D5" s="107" t="str">
        <x:v>Rule</x:v>
      </x:c>
      <x:c r="E5" s="108" t="str">
        <x:v>Definition / Formula</x:v>
      </x:c>
      <x:c r="F5" s="30"/>
      <x:c r="G5" s="30"/>
      <x:c r="H5" s="30"/>
      <x:c r="I5" s="30"/>
      <x:c r="J5" s="30"/>
      <x:c r="K5" s="30"/>
    </x:row>
    <x:row r="6">
      <x:c r="A6" s="109" t="str">
        <x:v>1</x:v>
      </x:c>
      <x:c r="B6" s="110" t="str">
        <x:v>Pay status-group upkeep from estate stockpile.</x:v>
      </x:c>
      <x:c r="C6" s="30"/>
      <x:c r="D6" s="109" t="str">
        <x:v>Procurement shortfall</x:v>
      </x:c>
      <x:c r="E6" s="110" t="str">
        <x:v>MAX(0, Required Goods - Current Stockpile). Rivals buy if shortfall &gt; 0.</x:v>
      </x:c>
      <x:c r="F6" s="30"/>
      <x:c r="G6" s="30"/>
      <x:c r="H6" s="30"/>
      <x:c r="I6" s="30"/>
      <x:c r="J6" s="30"/>
      <x:c r="K6" s="30"/>
    </x:row>
    <x:row r="7">
      <x:c r="A7" s="109" t="str">
        <x:v>2</x:v>
      </x:c>
      <x:c r="B7" s="110" t="str">
        <x:v>Reserve inputs for active buildings already operating.</x:v>
      </x:c>
      <x:c r="C7" s="30"/>
      <x:c r="D7" s="109" t="str">
        <x:v>Sellable surplus</x:v>
      </x:c>
      <x:c r="E7" s="110" t="str">
        <x:v>MAX(0, Stockpile - Upkeep Reserve - Building Input Reserve - Build-Order Reserve - Safety Buffer).</x:v>
      </x:c>
      <x:c r="F7" s="30"/>
      <x:c r="G7" s="30"/>
      <x:c r="H7" s="30"/>
      <x:c r="I7" s="30"/>
      <x:c r="J7" s="30"/>
      <x:c r="K7" s="30"/>
    </x:row>
    <x:row r="8">
      <x:c r="A8" s="109" t="str">
        <x:v>3</x:v>
      </x:c>
      <x:c r="B8" s="110" t="str">
        <x:v>Reserve goods for current build-order target.</x:v>
      </x:c>
      <x:c r="C8" s="30"/>
      <x:c r="D8" s="109" t="str">
        <x:v>True surplus rule</x:v>
      </x:c>
      <x:c r="E8" s="110" t="str">
        <x:v>A good is not surplus if it is reserved for upkeep, building inputs, current objective, safety buffer or personality hoard.</x:v>
      </x:c>
      <x:c r="F8" s="30"/>
      <x:c r="G8" s="30"/>
      <x:c r="H8" s="30"/>
      <x:c r="I8" s="30"/>
      <x:c r="J8" s="30"/>
      <x:c r="K8" s="30"/>
    </x:row>
    <x:row r="9">
      <x:c r="A9" s="109" t="str">
        <x:v>4</x:v>
      </x:c>
      <x:c r="B9" s="110" t="str">
        <x:v>Buy missing goods from central marketplace if stockpile is short.</x:v>
      </x:c>
      <x:c r="C9" s="30"/>
      <x:c r="D9" s="109" t="str">
        <x:v>Buy priority</x:v>
      </x:c>
      <x:c r="E9" s="110" t="str">
        <x:v>Upkeep first, active production inputs second, build-order target third.</x:v>
      </x:c>
      <x:c r="F9" s="30"/>
      <x:c r="G9" s="30"/>
      <x:c r="H9" s="30"/>
      <x:c r="I9" s="30"/>
      <x:c r="J9" s="30"/>
      <x:c r="K9" s="30"/>
    </x:row>
    <x:row r="10">
      <x:c r="A10" s="109" t="str">
        <x:v>5</x:v>
      </x:c>
      <x:c r="B10" s="110" t="str">
        <x:v>Build target when all required goods are available.</x:v>
      </x:c>
      <x:c r="C10" s="30"/>
      <x:c r="D10" s="111" t="str">
        <x:v>Sell priority</x:v>
      </x:c>
      <x:c r="E10" s="112" t="str">
        <x:v>Sell only true surplus, and only when it fits the rival personality.</x:v>
      </x:c>
      <x:c r="F10" s="30"/>
      <x:c r="G10" s="30"/>
      <x:c r="H10" s="30"/>
      <x:c r="I10" s="30"/>
      <x:c r="J10" s="30"/>
      <x:c r="K10" s="30"/>
    </x:row>
    <x:row r="11">
      <x:c r="A11" s="109" t="str">
        <x:v>6</x:v>
      </x:c>
      <x:c r="B11" s="110" t="str">
        <x:v>Activate new production once built.</x:v>
      </x:c>
      <x:c r="C11" s="30"/>
      <x:c r="D11" s="30"/>
      <x:c r="E11" s="30"/>
      <x:c r="F11" s="30"/>
      <x:c r="G11" s="30"/>
      <x:c r="H11" s="30"/>
      <x:c r="I11" s="30"/>
      <x:c r="J11" s="30"/>
      <x:c r="K11" s="30"/>
    </x:row>
    <x:row r="12">
      <x:c r="A12" s="109" t="str">
        <x:v>7</x:v>
      </x:c>
      <x:c r="B12" s="110" t="str">
        <x:v>Sell only true surplus after upkeep, input, build reserve and safety buffer.</x:v>
      </x:c>
      <x:c r="C12" s="30"/>
      <x:c r="D12" s="30"/>
      <x:c r="E12" s="30"/>
      <x:c r="F12" s="30"/>
      <x:c r="G12" s="30"/>
      <x:c r="H12" s="30"/>
      <x:c r="I12" s="30"/>
      <x:c r="J12" s="30"/>
      <x:c r="K12" s="30"/>
    </x:row>
    <x:row r="13">
      <x:c r="A13" s="111" t="str">
        <x:v>8</x:v>
      </x:c>
      <x:c r="B13" s="112" t="str">
        <x:v>Hoard personality goods according to rival identity.</x:v>
      </x:c>
      <x:c r="C13" s="30"/>
      <x:c r="D13" s="30"/>
      <x:c r="E13" s="30"/>
      <x:c r="F13" s="30"/>
      <x:c r="G13" s="30"/>
      <x:c r="H13" s="30"/>
      <x:c r="I13" s="30"/>
      <x:c r="J13" s="30"/>
      <x:c r="K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</x:row>
    <x:row r="16">
      <x:c r="A16" s="113" t="str">
        <x:v>Rival</x:v>
      </x:c>
      <x:c r="B16" s="114" t="str">
        <x:v>Patron God</x:v>
      </x:c>
      <x:c r="C16" s="114" t="str">
        <x:v>Build Step</x:v>
      </x:c>
      <x:c r="D16" s="114" t="str">
        <x:v>Target Building</x:v>
      </x:c>
      <x:c r="E16" s="114" t="str">
        <x:v>Purpose</x:v>
      </x:c>
      <x:c r="F16" s="114" t="str">
        <x:v>Primary Build Inputs</x:v>
      </x:c>
      <x:c r="G16" s="114" t="str">
        <x:v>Buy Priority</x:v>
      </x:c>
      <x:c r="H16" s="114" t="str">
        <x:v>Hoard Priority</x:v>
      </x:c>
      <x:c r="I16" s="114" t="str">
        <x:v>Sell Only If Surplus</x:v>
      </x:c>
      <x:c r="J16" s="114" t="str">
        <x:v>Output / Effect Unlocked</x:v>
      </x:c>
      <x:c r="K16" s="115" t="str">
        <x:v>Expected Market Pressure</x:v>
      </x:c>
    </x:row>
    <x:row r="17">
      <x:c r="A17" s="116" t="str">
        <x:v>War Rival</x:v>
      </x:c>
      <x:c r="B17" s="117" t="str">
        <x:v>Huitzilopochtli</x:v>
      </x:c>
      <x:c r="C17" s="117" t="n">
        <x:v>1</x:v>
      </x:c>
      <x:c r="D17" s="117" t="str">
        <x:v>Weapon Yard</x:v>
      </x:c>
      <x:c r="E17" s="117" t="str">
        <x:v>Consolidate weapons production for early Flower Wars.</x:v>
      </x:c>
      <x:c r="F17" s="117" t="str">
        <x:v>Wood, Tools, Obsidian, Cloth</x:v>
      </x:c>
      <x:c r="G17" s="117" t="str">
        <x:v>Tools, Cloth, Wood, Maize, Obsidian if needed</x:v>
      </x:c>
      <x:c r="H17" s="117" t="str">
        <x:v>Obsidian, Weapons, Captives</x:v>
      </x:c>
      <x:c r="I17" s="117" t="str">
        <x:v>Maize, Wood, Cloth, excess Obsidian</x:v>
      </x:c>
      <x:c r="J17" s="117" t="str">
        <x:v>Weapons production</x:v>
      </x:c>
      <x:c r="K17" s="118" t="str">
        <x:v>Raises demand for tools/cloth/wood; later eases weapons slightly.</x:v>
      </x:c>
    </x:row>
    <x:row r="18">
      <x:c r="A18" s="116" t="str">
        <x:v>War Rival</x:v>
      </x:c>
      <x:c r="B18" s="117" t="str">
        <x:v>Huitzilopochtli</x:v>
      </x:c>
      <x:c r="C18" s="117" t="n">
        <x:v>2</x:v>
      </x:c>
      <x:c r="D18" s="117" t="str">
        <x:v>Warrior House</x:v>
      </x:c>
      <x:c r="E18" s="117" t="str">
        <x:v>Support more Yaotequihuaqueh and war readiness.</x:v>
      </x:c>
      <x:c r="F18" s="117" t="str">
        <x:v>Wood, Cloth, Weapons</x:v>
      </x:c>
      <x:c r="G18" s="117" t="str">
        <x:v>Cloth, Wood, Weapons, Maize</x:v>
      </x:c>
      <x:c r="H18" s="117" t="str">
        <x:v>Weapons, Obsidian</x:v>
      </x:c>
      <x:c r="I18" s="117" t="str">
        <x:v>Maize above 2-turn buffer</x:v>
      </x:c>
      <x:c r="J18" s="117" t="str">
        <x:v>More warrior capacity</x:v>
      </x:c>
      <x:c r="K18" s="118" t="str">
        <x:v>Raises maize/cloth/weapon demand.</x:v>
      </x:c>
    </x:row>
    <x:row r="19">
      <x:c r="A19" s="116" t="str">
        <x:v>War Rival</x:v>
      </x:c>
      <x:c r="B19" s="117" t="str">
        <x:v>Huitzilopochtli</x:v>
      </x:c>
      <x:c r="C19" s="117" t="n">
        <x:v>3</x:v>
      </x:c>
      <x:c r="D19" s="117" t="str">
        <x:v>Captive Holding Pen</x:v>
      </x:c>
      <x:c r="E19" s="117" t="str">
        <x:v>Prepare to benefit from Flower Wars captives.</x:v>
      </x:c>
      <x:c r="F19" s="117" t="str">
        <x:v>Wood, Tools, Weapons</x:v>
      </x:c>
      <x:c r="G19" s="117" t="str">
        <x:v>Wood, Tools, Weapons</x:v>
      </x:c>
      <x:c r="H19" s="117" t="str">
        <x:v>Captives, Weapons</x:v>
      </x:c>
      <x:c r="I19" s="117" t="str">
        <x:v>None unless true surplus</x:v>
      </x:c>
      <x:c r="J19" s="117" t="str">
        <x:v>Captive holding capacity</x:v>
      </x:c>
      <x:c r="K19" s="118" t="str">
        <x:v>Raises tools/weapon construction demand.</x:v>
      </x:c>
    </x:row>
    <x:row r="20">
      <x:c r="A20" s="116" t="str">
        <x:v>War Rival</x:v>
      </x:c>
      <x:c r="B20" s="117" t="str">
        <x:v>Huitzilopochtli</x:v>
      </x:c>
      <x:c r="C20" s="117" t="n">
        <x:v>4</x:v>
      </x:c>
      <x:c r="D20" s="117" t="str">
        <x:v>Huitzilopochtli Shrine Support</x:v>
      </x:c>
      <x:c r="E20" s="117" t="str">
        <x:v>Convert war success and captives into favour/prestige.</x:v>
      </x:c>
      <x:c r="F20" s="117" t="str">
        <x:v>Wood, Ritual Goods, Cacao</x:v>
      </x:c>
      <x:c r="G20" s="117" t="str">
        <x:v>Ritual Goods, Cacao, Wood</x:v>
      </x:c>
      <x:c r="H20" s="117" t="str">
        <x:v>Captives, Ritual Goods</x:v>
      </x:c>
      <x:c r="I20" s="117" t="str">
        <x:v>Minor surplus goods only</x:v>
      </x:c>
      <x:c r="J20" s="117" t="str">
        <x:v>War offering support</x:v>
      </x:c>
      <x:c r="K20" s="118" t="str">
        <x:v>Adds ritual/cacao demand after war base is secure.</x:v>
      </x:c>
    </x:row>
    <x:row r="21">
      <x:c r="A21" s="119" t="str">
        <x:v>Cunning Rival</x:v>
      </x:c>
      <x:c r="B21" s="120" t="str">
        <x:v>Tezcatlipoca</x:v>
      </x:c>
      <x:c r="C21" s="120" t="n">
        <x:v>1</x:v>
      </x:c>
      <x:c r="D21" s="120" t="str">
        <x:v>Storehouse / Market Storage</x:v>
      </x:c>
      <x:c r="E21" s="120" t="str">
        <x:v>Enable hoarding and timed market release.</x:v>
      </x:c>
      <x:c r="F21" s="120" t="str">
        <x:v>Wood, Tools</x:v>
      </x:c>
      <x:c r="G21" s="120" t="str">
        <x:v>Wood, Tools</x:v>
      </x:c>
      <x:c r="H21" s="120" t="str">
        <x:v>Tools, Cloth, Cacao</x:v>
      </x:c>
      <x:c r="I21" s="120" t="str">
        <x:v>Wood/Cotton if not needed</x:v>
      </x:c>
      <x:c r="J21" s="120" t="str">
        <x:v>Larger reserve capacity</x:v>
      </x:c>
      <x:c r="K21" s="121" t="str">
        <x:v>Raises wood/tools demand; enables future hoarding.</x:v>
      </x:c>
    </x:row>
    <x:row r="22">
      <x:c r="A22" s="119" t="str">
        <x:v>Cunning Rival</x:v>
      </x:c>
      <x:c r="B22" s="120" t="str">
        <x:v>Tezcatlipoca</x:v>
      </x:c>
      <x:c r="C22" s="120" t="n">
        <x:v>2</x:v>
      </x:c>
      <x:c r="D22" s="120" t="str">
        <x:v>Advanced Tool Workshop</x:v>
      </x:c>
      <x:c r="E22" s="120" t="str">
        <x:v>Control tools, the main hinge good.</x:v>
      </x:c>
      <x:c r="F22" s="120" t="str">
        <x:v>Wood, Cloth</x:v>
      </x:c>
      <x:c r="G22" s="120" t="str">
        <x:v>Wood, Cloth, Tools if cheap</x:v>
      </x:c>
      <x:c r="H22" s="120" t="str">
        <x:v>Tools, Cacao</x:v>
      </x:c>
      <x:c r="I22" s="120" t="str">
        <x:v>Tools only when high-value true surplus</x:v>
      </x:c>
      <x:c r="J22" s="120" t="str">
        <x:v>Higher tool output</x:v>
      </x:c>
      <x:c r="K22" s="121" t="str">
        <x:v>Can ease tools later while consuming wood/cloth.</x:v>
      </x:c>
    </x:row>
    <x:row r="23">
      <x:c r="A23" s="119" t="str">
        <x:v>Cunning Rival</x:v>
      </x:c>
      <x:c r="B23" s="120" t="str">
        <x:v>Tezcatlipoca</x:v>
      </x:c>
      <x:c r="C23" s="120" t="n">
        <x:v>3</x:v>
      </x:c>
      <x:c r="D23" s="120" t="str">
        <x:v>Cloth Workshop</x:v>
      </x:c>
      <x:c r="E23" s="120" t="str">
        <x:v>Control broad upkeep and construction pressure.</x:v>
      </x:c>
      <x:c r="F23" s="120" t="str">
        <x:v>Wood, Tools, Cotton</x:v>
      </x:c>
      <x:c r="G23" s="120" t="str">
        <x:v>Cotton, Wood, Tools</x:v>
      </x:c>
      <x:c r="H23" s="120" t="str">
        <x:v>Cloth, Tools, Cacao</x:v>
      </x:c>
      <x:c r="I23" s="120" t="str">
        <x:v>Cloth when profitable and protected</x:v>
      </x:c>
      <x:c r="J23" s="120" t="str">
        <x:v>Cloth output</x:v>
      </x:c>
      <x:c r="K23" s="121" t="str">
        <x:v>Raises cotton/wood/tool demand; later eases cloth.</x:v>
      </x:c>
    </x:row>
    <x:row r="24">
      <x:c r="A24" s="119" t="str">
        <x:v>Cunning Rival</x:v>
      </x:c>
      <x:c r="B24" s="120" t="str">
        <x:v>Tezcatlipoca</x:v>
      </x:c>
      <x:c r="C24" s="120" t="n">
        <x:v>4</x:v>
      </x:c>
      <x:c r="D24" s="120" t="str">
        <x:v>Cacao Garden / Cacao Access</x:v>
      </x:c>
      <x:c r="E24" s="120" t="str">
        <x:v>Build influence, barter flexibility and future leverage.</x:v>
      </x:c>
      <x:c r="F24" s="120" t="str">
        <x:v>Wood, Tools</x:v>
      </x:c>
      <x:c r="G24" s="120" t="str">
        <x:v>Wood, Tools, Cacao if low</x:v>
      </x:c>
      <x:c r="H24" s="120" t="str">
        <x:v>Cacao</x:v>
      </x:c>
      <x:c r="I24" s="120" t="str">
        <x:v>Cacao only if very high surplus</x:v>
      </x:c>
      <x:c r="J24" s="120" t="str">
        <x:v>More cacao access</x:v>
      </x:c>
      <x:c r="K24" s="121" t="str">
        <x:v>Keeps cacao contested.</x:v>
      </x:c>
    </x:row>
    <x:row r="25">
      <x:c r="A25" s="122" t="str">
        <x:v>Diplomatic Rival</x:v>
      </x:c>
      <x:c r="B25" s="123" t="str">
        <x:v>Quetzalcoatl</x:v>
      </x:c>
      <x:c r="C25" s="123" t="n">
        <x:v>1</x:v>
      </x:c>
      <x:c r="D25" s="123" t="str">
        <x:v>Noble Residence</x:v>
      </x:c>
      <x:c r="E25" s="123" t="str">
        <x:v>Support Pipiltin and palace/status actions.</x:v>
      </x:c>
      <x:c r="F25" s="123" t="str">
        <x:v>Wood, Cloth, Cacao, Fine Textiles</x:v>
      </x:c>
      <x:c r="G25" s="123" t="str">
        <x:v>Cacao, Fine Textiles, Cloth, Tools, Wood</x:v>
      </x:c>
      <x:c r="H25" s="123" t="str">
        <x:v>Cacao, Fine Textiles</x:v>
      </x:c>
      <x:c r="I25" s="123" t="str">
        <x:v>Maize if above buffer; cloth after protected</x:v>
      </x:c>
      <x:c r="J25" s="123" t="str">
        <x:v>More noble/status capacity</x:v>
      </x:c>
      <x:c r="K25" s="124" t="str">
        <x:v>Raises cacao/fine textiles/cloth demand.</x:v>
      </x:c>
    </x:row>
    <x:row r="26">
      <x:c r="A26" s="122" t="str">
        <x:v>Diplomatic Rival</x:v>
      </x:c>
      <x:c r="B26" s="123" t="str">
        <x:v>Quetzalcoatl</x:v>
      </x:c>
      <x:c r="C26" s="123" t="n">
        <x:v>2</x:v>
      </x:c>
      <x:c r="D26" s="123" t="str">
        <x:v>Fine Textile House</x:v>
      </x:c>
      <x:c r="E26" s="123" t="str">
        <x:v>Produce high-value tribute and recognition goods.</x:v>
      </x:c>
      <x:c r="F26" s="123" t="str">
        <x:v>Wood, Cotton, Tools, Cacao</x:v>
      </x:c>
      <x:c r="G26" s="123" t="str">
        <x:v>Cotton, Tools, Cacao, Wood</x:v>
      </x:c>
      <x:c r="H26" s="123" t="str">
        <x:v>Fine Textiles, Cacao</x:v>
      </x:c>
      <x:c r="I26" s="123" t="str">
        <x:v>Fine Textiles rarely; Cacao rarely</x:v>
      </x:c>
      <x:c r="J26" s="123" t="str">
        <x:v>Fine textile output</x:v>
      </x:c>
      <x:c r="K26" s="124" t="str">
        <x:v>Raises cotton/tools/cacao demand; later eases fine textiles.</x:v>
      </x:c>
    </x:row>
    <x:row r="27">
      <x:c r="A27" s="122" t="str">
        <x:v>Diplomatic Rival</x:v>
      </x:c>
      <x:c r="B27" s="123" t="str">
        <x:v>Quetzalcoatl</x:v>
      </x:c>
      <x:c r="C27" s="123" t="n">
        <x:v>3</x:v>
      </x:c>
      <x:c r="D27" s="123" t="str">
        <x:v>Cacao Garden / Cacao Expansion</x:v>
      </x:c>
      <x:c r="E27" s="123" t="str">
        <x:v>Support nobles, diplomacy, barter and legitimacy.</x:v>
      </x:c>
      <x:c r="F27" s="123" t="str">
        <x:v>Wood, Tools</x:v>
      </x:c>
      <x:c r="G27" s="123" t="str">
        <x:v>Wood, Tools, Cacao</x:v>
      </x:c>
      <x:c r="H27" s="123" t="str">
        <x:v>Cacao</x:v>
      </x:c>
      <x:c r="I27" s="123" t="str">
        <x:v>Cacao only if very high surplus</x:v>
      </x:c>
      <x:c r="J27" s="123" t="str">
        <x:v>More cacao output</x:v>
      </x:c>
      <x:c r="K27" s="124" t="str">
        <x:v>Keeps cacao central to court competition.</x:v>
      </x:c>
    </x:row>
    <x:row r="28">
      <x:c r="A28" s="125" t="str">
        <x:v>Diplomatic Rival</x:v>
      </x:c>
      <x:c r="B28" s="126" t="str">
        <x:v>Quetzalcoatl</x:v>
      </x:c>
      <x:c r="C28" s="126" t="n">
        <x:v>4</x:v>
      </x:c>
      <x:c r="D28" s="126" t="str">
        <x:v>Quetzalcoatl Shrine Support</x:v>
      </x:c>
      <x:c r="E28" s="126" t="str">
        <x:v>Convert legitimacy and offerings into divine/political standing.</x:v>
      </x:c>
      <x:c r="F28" s="126" t="str">
        <x:v>Wood, Ritual Goods, Cacao</x:v>
      </x:c>
      <x:c r="G28" s="126" t="str">
        <x:v>Ritual Goods, Cacao, Wood</x:v>
      </x:c>
      <x:c r="H28" s="126" t="str">
        <x:v>Fine Textiles, Cacao</x:v>
      </x:c>
      <x:c r="I28" s="126" t="str">
        <x:v>Minor surplus goods only</x:v>
      </x:c>
      <x:c r="J28" s="126" t="str">
        <x:v>Legitimacy/offering support</x:v>
      </x:c>
      <x:c r="K28" s="127" t="str">
        <x:v>Adds ritual/cacao demand if palace base is secure.</x:v>
      </x:c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  <x:row r="31">
      <x:c r="A31" s="113" t="str">
        <x:v>Rival</x:v>
      </x:c>
      <x:c r="B31" s="114" t="str">
        <x:v>Patron God</x:v>
      </x:c>
      <x:c r="C31" s="114" t="str">
        <x:v>Year 1 Objective</x:v>
      </x:c>
      <x:c r="D31" s="114" t="str">
        <x:v>First Build</x:v>
      </x:c>
      <x:c r="E31" s="114" t="str">
        <x:v>Primary Buys</x:v>
      </x:c>
      <x:c r="F31" s="114" t="str">
        <x:v>Primary Hoards</x:v>
      </x:c>
      <x:c r="G31" s="115" t="str">
        <x:v>Primary Market Effect</x:v>
      </x:c>
      <x:c r="H31" s="30"/>
      <x:c r="I31" s="30"/>
      <x:c r="J31" s="30"/>
      <x:c r="K31" s="30"/>
    </x:row>
    <x:row r="32">
      <x:c r="A32" s="128" t="str">
        <x:v>War Rival</x:v>
      </x:c>
      <x:c r="B32" s="129" t="str">
        <x:v>Huitzilopochtli</x:v>
      </x:c>
      <x:c r="C32" s="129" t="str">
        <x:v>Consolidate a war economy capable of early Flower Wars.</x:v>
      </x:c>
      <x:c r="D32" s="129" t="str">
        <x:v>Weapon Yard</x:v>
      </x:c>
      <x:c r="E32" s="129" t="str">
        <x:v>Tools, Cloth, Wood, Maize</x:v>
      </x:c>
      <x:c r="F32" s="129" t="str">
        <x:v>Obsidian, Weapons, Captives</x:v>
      </x:c>
      <x:c r="G32" s="130" t="str">
        <x:v>Tightens tools/cloth/wood early; later may ease weapons.</x:v>
      </x:c>
      <x:c r="H32" s="30"/>
      <x:c r="I32" s="30"/>
      <x:c r="J32" s="30"/>
      <x:c r="K32" s="30"/>
    </x:row>
    <x:row r="33">
      <x:c r="A33" s="128" t="str">
        <x:v>Cunning Rival</x:v>
      </x:c>
      <x:c r="B33" s="129" t="str">
        <x:v>Tezcatlipoca</x:v>
      </x:c>
      <x:c r="C33" s="129" t="str">
        <x:v>Build leverage over hinge goods and market timing.</x:v>
      </x:c>
      <x:c r="D33" s="129" t="str">
        <x:v>Storehouse / Market Storage</x:v>
      </x:c>
      <x:c r="E33" s="129" t="str">
        <x:v>Wood, Cotton, Cacao, Tools</x:v>
      </x:c>
      <x:c r="F33" s="129" t="str">
        <x:v>Tools, Cloth, Cacao</x:v>
      </x:c>
      <x:c r="G33" s="130" t="str">
        <x:v>Manipulates tools/cloth and increases wood/cotton/cacao demand.</x:v>
      </x:c>
      <x:c r="H33" s="30"/>
      <x:c r="I33" s="30"/>
      <x:c r="J33" s="30"/>
      <x:c r="K33" s="30"/>
    </x:row>
    <x:row r="34">
      <x:c r="A34" s="131" t="str">
        <x:v>Diplomatic Rival</x:v>
      </x:c>
      <x:c r="B34" s="132" t="str">
        <x:v>Quetzalcoatl</x:v>
      </x:c>
      <x:c r="C34" s="132" t="str">
        <x:v>Consolidate palace-facing status and tribute production.</x:v>
      </x:c>
      <x:c r="D34" s="132" t="str">
        <x:v>Noble Residence</x:v>
      </x:c>
      <x:c r="E34" s="132" t="str">
        <x:v>Cacao, Fine Textiles, Cloth, Tools, Wood</x:v>
      </x:c>
      <x:c r="F34" s="132" t="str">
        <x:v>Fine Textiles, Cacao</x:v>
      </x:c>
      <x:c r="G34" s="133" t="str">
        <x:v>Tightens cacao/fine textiles/cloth; later competes for recognition.</x:v>
      </x:c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</x:sheetData>
  <x:mergeCells>
    <x:mergeCell ref="A1:K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9" hidden="0" customWidth="1"/>
    <x:col min="4" max="4" width="24" hidden="0" customWidth="1"/>
    <x:col min="5" max="5" width="34" hidden="0" customWidth="1"/>
    <x:col min="6" max="6" width="26" hidden="0" customWidth="1"/>
    <x:col min="7" max="7" width="26" hidden="0" customWidth="1"/>
    <x:col min="8" max="8" width="24" hidden="0" customWidth="1"/>
    <x:col min="9" max="9" width="24" hidden="0" customWidth="1"/>
    <x:col min="10" max="10" width="24" hidden="0" customWidth="1"/>
    <x:col min="11" max="11" width="34" hidden="0" customWidth="1"/>
    <x:col min="12" max="12" width="16" hidden="0" customWidth="1"/>
    <x:col min="13" max="13" width="18" hidden="0" customWidth="1"/>
    <x:col min="14" max="14" width="26" hidden="0" customWidth="1"/>
    <x:col min="15" max="15" width="36" hidden="0" customWidth="1"/>
  </x:cols>
  <x:sheetData>
    <x:row r="1">
      <x:c r="A1" s="145" t="str">
        <x:v>Prototype 0 Rival Build Orders — v0.12</x:v>
      </x:c>
      <x:c r="B1" s="145" t="str"/>
      <x:c r="C1" s="145" t="str"/>
      <x:c r="D1" s="145" t="str"/>
      <x:c r="E1" s="145" t="str"/>
      <x:c r="F1" s="145" t="str"/>
      <x:c r="G1" s="145" t="str"/>
      <x:c r="H1" s="145" t="str"/>
      <x:c r="I1" s="145" t="str"/>
      <x:c r="J1" s="145" t="str"/>
      <x:c r="K1" s="145" t="str"/>
      <x:c r="L1" s="145" t="str"/>
      <x:c r="M1" s="145" t="str"/>
      <x:c r="N1" s="145" t="str"/>
      <x:c r="O1" s="145" t="str"/>
    </x:row>
    <x:row r="2">
      <x:c r="A2" s="30" t="str">
        <x:v>Adds procurement intensity, minor support-step logic, refined Cunning Rival framing, and Diplomatic Rival fine-textile-first order.</x:v>
      </x:c>
      <x:c r="B2" s="30" t="str"/>
      <x:c r="C2" s="30" t="str"/>
      <x:c r="D2" s="30" t="str"/>
      <x:c r="E2" s="30" t="str"/>
      <x:c r="F2" s="30" t="str"/>
      <x:c r="G2" s="30" t="str"/>
      <x:c r="H2" s="30" t="str"/>
      <x:c r="I2" s="30" t="str"/>
      <x:c r="J2" s="30" t="str"/>
      <x:c r="K2" s="30" t="str"/>
      <x:c r="L2" s="30" t="str"/>
      <x:c r="M2" s="30" t="str"/>
      <x:c r="N2" s="30" t="str"/>
      <x:c r="O2" s="30" t="str"/>
    </x:row>
    <x:row r="3">
      <x:c r="A3" s="30" t="str"/>
      <x:c r="B3" s="30" t="str"/>
      <x:c r="C3" s="30" t="str"/>
      <x:c r="D3" s="30" t="str"/>
      <x:c r="E3" s="30" t="str"/>
      <x:c r="F3" s="30" t="str"/>
      <x:c r="G3" s="30" t="str"/>
      <x:c r="H3" s="30" t="str"/>
      <x:c r="I3" s="30" t="str"/>
      <x:c r="J3" s="30" t="str"/>
      <x:c r="K3" s="30" t="str"/>
      <x:c r="L3" s="30" t="str"/>
      <x:c r="M3" s="30" t="str"/>
      <x:c r="N3" s="30" t="str"/>
      <x:c r="O3" s="30" t="str"/>
    </x:row>
    <x:row r="4">
      <x:c r="A4" s="146" t="str">
        <x:v>Core Rule</x:v>
      </x:c>
      <x:c r="B4" s="146" t="str">
        <x:v>Definition</x:v>
      </x:c>
      <x:c r="C4" s="146" t="str"/>
      <x:c r="D4" s="146" t="str">
        <x:v>Procurement Intensity</x:v>
      </x:c>
      <x:c r="E4" s="146" t="str">
        <x:v>Buy Cap / Turn</x:v>
      </x:c>
      <x:c r="F4" s="146" t="str">
        <x:v>Use Case</x:v>
      </x:c>
      <x:c r="G4" s="30" t="str"/>
      <x:c r="H4" s="30" t="str"/>
      <x:c r="I4" s="30" t="str"/>
      <x:c r="J4" s="30" t="str"/>
      <x:c r="K4" s="30" t="str"/>
      <x:c r="L4" s="30" t="str"/>
      <x:c r="M4" s="30" t="str"/>
      <x:c r="N4" s="30" t="str"/>
      <x:c r="O4" s="30" t="str"/>
    </x:row>
    <x:row r="5">
      <x:c r="A5" s="30" t="str">
        <x:v>Resolution order</x:v>
      </x:c>
      <x:c r="B5" s="30" t="str">
        <x:v>Pay upkeep → reserve active inputs → reserve build target → buy shortfall → build if affordable → sell true surplus → hoard personality goods.</x:v>
      </x:c>
      <x:c r="C5" s="30" t="str"/>
      <x:c r="D5" s="30" t="str">
        <x:v>Aggressive</x:v>
      </x:c>
      <x:c r="E5" s="30" t="str">
        <x:v>Up to 60% of missing target goods</x:v>
      </x:c>
      <x:c r="F5" s="30" t="str">
        <x:v>War Rival for war-chain goods and urgent upkeep</x:v>
      </x:c>
      <x:c r="G5" s="30" t="str"/>
      <x:c r="H5" s="30" t="str"/>
      <x:c r="I5" s="30" t="str"/>
      <x:c r="J5" s="30" t="str"/>
      <x:c r="K5" s="30" t="str"/>
      <x:c r="L5" s="30" t="str"/>
      <x:c r="M5" s="30" t="str"/>
      <x:c r="N5" s="30" t="str"/>
      <x:c r="O5" s="30" t="str"/>
    </x:row>
    <x:row r="6">
      <x:c r="A6" s="30" t="str">
        <x:v>Procurement shortfall</x:v>
      </x:c>
      <x:c r="B6" s="30" t="str">
        <x:v>MAX(0, Required Goods - Current Stockpile). Rivals buy when shortfall &gt; 0.</x:v>
      </x:c>
      <x:c r="C6" s="30" t="str"/>
      <x:c r="D6" s="30" t="str">
        <x:v>Steady</x:v>
      </x:c>
      <x:c r="E6" s="30" t="str">
        <x:v>Up to 40% of missing target goods</x:v>
      </x:c>
      <x:c r="F6" s="30" t="str">
        <x:v>Diplomatic Rival and ordinary build progression</x:v>
      </x:c>
      <x:c r="G6" s="30" t="str"/>
      <x:c r="H6" s="30" t="str"/>
      <x:c r="I6" s="30" t="str"/>
      <x:c r="J6" s="30" t="str"/>
      <x:c r="K6" s="30" t="str"/>
      <x:c r="L6" s="30" t="str"/>
      <x:c r="M6" s="30" t="str"/>
      <x:c r="N6" s="30" t="str"/>
      <x:c r="O6" s="30" t="str"/>
    </x:row>
    <x:row r="7">
      <x:c r="A7" s="30" t="str">
        <x:v>Sellable surplus</x:v>
      </x:c>
      <x:c r="B7" s="30" t="str">
        <x:v>MAX(0, Stockpile - Upkeep Reserve - Building Input Reserve - Build-Order Reserve - Safety Buffer).</x:v>
      </x:c>
      <x:c r="C7" s="30" t="str"/>
      <x:c r="D7" s="30" t="str">
        <x:v>Opportunistic</x:v>
      </x:c>
      <x:c r="E7" s="30" t="str">
        <x:v>Up to 25% normally; up to 60% when price is favourable</x:v>
      </x:c>
      <x:c r="F7" s="30" t="str">
        <x:v>Cunning Rival market-control behaviour</x:v>
      </x:c>
      <x:c r="G7" s="30" t="str"/>
      <x:c r="H7" s="30" t="str"/>
      <x:c r="I7" s="30" t="str"/>
      <x:c r="J7" s="30" t="str"/>
      <x:c r="K7" s="30" t="str"/>
      <x:c r="L7" s="30" t="str"/>
      <x:c r="M7" s="30" t="str"/>
      <x:c r="N7" s="30" t="str"/>
      <x:c r="O7" s="30" t="str"/>
    </x:row>
    <x:row r="8">
      <x:c r="A8" s="30" t="str">
        <x:v>True surplus</x:v>
      </x:c>
      <x:c r="B8" s="30" t="str">
        <x:v>A good is not surplus if reserved for upkeep, active inputs, current objective, safety buffer, or personality hoard.</x:v>
      </x:c>
      <x:c r="C8" s="30" t="str"/>
      <x:c r="D8" s="30" t="str">
        <x:v>Blocked major build</x:v>
      </x:c>
      <x:c r="E8" s="30" t="str">
        <x:v>Attempt minor support step if affordable</x:v>
      </x:c>
      <x:c r="F8" s="30" t="str">
        <x:v>Prevents rivals from appearing inactive when a major target is not yet affordable</x:v>
      </x:c>
      <x:c r="G8" s="30" t="str"/>
      <x:c r="H8" s="30" t="str"/>
      <x:c r="I8" s="30" t="str"/>
      <x:c r="J8" s="30" t="str"/>
      <x:c r="K8" s="30" t="str"/>
      <x:c r="L8" s="30" t="str"/>
      <x:c r="M8" s="30" t="str"/>
      <x:c r="N8" s="30" t="str"/>
      <x:c r="O8" s="30" t="str"/>
    </x:row>
    <x:row r="9">
      <x:c r="A9" s="30" t="str"/>
      <x:c r="B9" s="30" t="str"/>
      <x:c r="C9" s="30" t="str"/>
      <x:c r="D9" s="30" t="str"/>
      <x:c r="E9" s="30" t="str"/>
      <x:c r="F9" s="30" t="str"/>
      <x:c r="G9" s="30" t="str"/>
      <x:c r="H9" s="30" t="str"/>
      <x:c r="I9" s="30" t="str"/>
      <x:c r="J9" s="30" t="str"/>
      <x:c r="K9" s="30" t="str"/>
      <x:c r="L9" s="30" t="str"/>
      <x:c r="M9" s="30" t="str"/>
      <x:c r="N9" s="30" t="str"/>
      <x:c r="O9" s="30" t="str"/>
    </x:row>
    <x:row r="10">
      <x:c r="A10" s="146" t="str">
        <x:v>Rival</x:v>
      </x:c>
      <x:c r="B10" s="146" t="str">
        <x:v>Patron God</x:v>
      </x:c>
      <x:c r="C10" s="146" t="str">
        <x:v>Build Step</x:v>
      </x:c>
      <x:c r="D10" s="146" t="str">
        <x:v>Target Building</x:v>
      </x:c>
      <x:c r="E10" s="146" t="str">
        <x:v>Purpose</x:v>
      </x:c>
      <x:c r="F10" s="146" t="str">
        <x:v>Primary Build Inputs</x:v>
      </x:c>
      <x:c r="G10" s="146" t="str">
        <x:v>Buy Priority</x:v>
      </x:c>
      <x:c r="H10" s="146" t="str">
        <x:v>Hoard Priority</x:v>
      </x:c>
      <x:c r="I10" s="146" t="str">
        <x:v>Sell Only If Surplus</x:v>
      </x:c>
      <x:c r="J10" s="146" t="str">
        <x:v>Output / Effect Unlocked</x:v>
      </x:c>
      <x:c r="K10" s="146" t="str">
        <x:v>Expected Market Pressure</x:v>
      </x:c>
      <x:c r="L10" s="146" t="str">
        <x:v>Procurement Style</x:v>
      </x:c>
      <x:c r="M10" s="146" t="str">
        <x:v>Buy Cap</x:v>
      </x:c>
      <x:c r="N10" s="146" t="str">
        <x:v>Minor Support Step if Blocked</x:v>
      </x:c>
      <x:c r="O10" s="146" t="str">
        <x:v>Minor Step Purpose</x:v>
      </x:c>
    </x:row>
    <x:row r="11">
      <x:c r="A11" s="30" t="str">
        <x:v>War Rival</x:v>
      </x:c>
      <x:c r="B11" s="30" t="str">
        <x:v>Huitzilopochtli</x:v>
      </x:c>
      <x:c r="C11" s="30" t="n">
        <x:v>1</x:v>
      </x:c>
      <x:c r="D11" s="30" t="str">
        <x:v>Weapon Yard</x:v>
      </x:c>
      <x:c r="E11" s="30" t="str">
        <x:v>Consolidate weapons production for early Flower Wars.</x:v>
      </x:c>
      <x:c r="F11" s="30" t="str">
        <x:v>Wood, Tools, Obsidian, Cloth</x:v>
      </x:c>
      <x:c r="G11" s="30" t="str">
        <x:v>Tools, Cloth, Wood, Maize, Obsidian if needed</x:v>
      </x:c>
      <x:c r="H11" s="30" t="str">
        <x:v>Obsidian, Weapons, Captives</x:v>
      </x:c>
      <x:c r="I11" s="30" t="str">
        <x:v>Maize, Wood, Cloth, excess Obsidian</x:v>
      </x:c>
      <x:c r="J11" s="30" t="str">
        <x:v>Weapons production</x:v>
      </x:c>
      <x:c r="K11" s="30" t="str">
        <x:v>Raises demand for tools/cloth/wood; later eases weapons slightly.</x:v>
      </x:c>
      <x:c r="L11" s="30" t="str">
        <x:v>Aggressive</x:v>
      </x:c>
      <x:c r="M11" s="30" t="str">
        <x:v>60% of missing goods / turn</x:v>
      </x:c>
      <x:c r="N11" s="30" t="str">
        <x:v>Armoury Stockpile / Weapon Yard Preparation</x:v>
      </x:c>
      <x:c r="O11" s="30" t="str">
        <x:v>Reserve obsidian, tools and cloth toward the Weapon Yard if the full build is not affordable.</x:v>
      </x:c>
    </x:row>
    <x:row r="12">
      <x:c r="A12" s="30" t="str">
        <x:v>War Rival</x:v>
      </x:c>
      <x:c r="B12" s="30" t="str">
        <x:v>Huitzilopochtli</x:v>
      </x:c>
      <x:c r="C12" s="30" t="n">
        <x:v>2</x:v>
      </x:c>
      <x:c r="D12" s="30" t="str">
        <x:v>Warrior House</x:v>
      </x:c>
      <x:c r="E12" s="30" t="str">
        <x:v>Support more Yaotequihuaqueh and war readiness.</x:v>
      </x:c>
      <x:c r="F12" s="30" t="str">
        <x:v>Wood, Cloth, Weapons</x:v>
      </x:c>
      <x:c r="G12" s="30" t="str">
        <x:v>Cloth, Wood, Weapons, Maize</x:v>
      </x:c>
      <x:c r="H12" s="30" t="str">
        <x:v>Weapons, Obsidian</x:v>
      </x:c>
      <x:c r="I12" s="30" t="str">
        <x:v>Maize above 2-turn buffer</x:v>
      </x:c>
      <x:c r="J12" s="30" t="str">
        <x:v>More warrior capacity</x:v>
      </x:c>
      <x:c r="K12" s="30" t="str">
        <x:v>Raises maize/cloth/weapon demand.</x:v>
      </x:c>
      <x:c r="L12" s="30" t="str">
        <x:v>Aggressive</x:v>
      </x:c>
      <x:c r="M12" s="30" t="str">
        <x:v>60% for war support goods</x:v>
      </x:c>
      <x:c r="N12" s="30" t="str">
        <x:v>Warrior Muster / Temporary War Camp</x:v>
      </x:c>
      <x:c r="O12" s="30" t="str">
        <x:v>Increases visible war preparation without unlocking full expansion.</x:v>
      </x:c>
    </x:row>
    <x:row r="13">
      <x:c r="A13" s="30" t="str">
        <x:v>War Rival</x:v>
      </x:c>
      <x:c r="B13" s="30" t="str">
        <x:v>Huitzilopochtli</x:v>
      </x:c>
      <x:c r="C13" s="30" t="n">
        <x:v>3</x:v>
      </x:c>
      <x:c r="D13" s="30" t="str">
        <x:v>Captive Holding Pen</x:v>
      </x:c>
      <x:c r="E13" s="30" t="str">
        <x:v>Prepare to benefit from Flower Wars captives.</x:v>
      </x:c>
      <x:c r="F13" s="30" t="str">
        <x:v>Wood, Tools, Weapons</x:v>
      </x:c>
      <x:c r="G13" s="30" t="str">
        <x:v>Wood, Tools, Weapons</x:v>
      </x:c>
      <x:c r="H13" s="30" t="str">
        <x:v>Captives, Weapons</x:v>
      </x:c>
      <x:c r="I13" s="30" t="str">
        <x:v>None unless true surplus</x:v>
      </x:c>
      <x:c r="J13" s="30" t="str">
        <x:v>Captive holding capacity</x:v>
      </x:c>
      <x:c r="K13" s="30" t="str">
        <x:v>Raises tools/weapon construction demand.</x:v>
      </x:c>
      <x:c r="L13" s="30" t="str">
        <x:v>Steady</x:v>
      </x:c>
      <x:c r="M13" s="30" t="str">
        <x:v>40% of missing goods / turn</x:v>
      </x:c>
      <x:c r="N13" s="30" t="str">
        <x:v>Guarded Holding Area</x:v>
      </x:c>
      <x:c r="O13" s="30" t="str">
        <x:v>Small temporary captive capacity if the full pen is unaffordable.</x:v>
      </x:c>
    </x:row>
    <x:row r="14">
      <x:c r="A14" s="30" t="str">
        <x:v>War Rival</x:v>
      </x:c>
      <x:c r="B14" s="30" t="str">
        <x:v>Huitzilopochtli</x:v>
      </x:c>
      <x:c r="C14" s="30" t="n">
        <x:v>4</x:v>
      </x:c>
      <x:c r="D14" s="30" t="str">
        <x:v>Huitzilopochtli Shrine Support</x:v>
      </x:c>
      <x:c r="E14" s="30" t="str">
        <x:v>Convert war success and captives into favour/prestige.</x:v>
      </x:c>
      <x:c r="F14" s="30" t="str">
        <x:v>Wood, Ritual Goods, Cacao</x:v>
      </x:c>
      <x:c r="G14" s="30" t="str">
        <x:v>Ritual Goods, Cacao, Wood</x:v>
      </x:c>
      <x:c r="H14" s="30" t="str">
        <x:v>Captives, Ritual Goods</x:v>
      </x:c>
      <x:c r="I14" s="30" t="str">
        <x:v>Minor surplus goods only</x:v>
      </x:c>
      <x:c r="J14" s="30" t="str">
        <x:v>War offering support</x:v>
      </x:c>
      <x:c r="K14" s="30" t="str">
        <x:v>Adds ritual/cacao demand after war base is secure.</x:v>
      </x:c>
      <x:c r="L14" s="30" t="str">
        <x:v>Steady</x:v>
      </x:c>
      <x:c r="M14" s="30" t="str">
        <x:v>40% of missing goods / turn</x:v>
      </x:c>
      <x:c r="N14" s="30" t="str">
        <x:v>War Offering Cache</x:v>
      </x:c>
      <x:c r="O14" s="30" t="str">
        <x:v>Stockpiles ritual goods/cacao for later conversion after captives arrive.</x:v>
      </x:c>
    </x:row>
    <x:row r="15">
      <x:c r="A15" s="30" t="str">
        <x:v>Cunning Rival</x:v>
      </x:c>
      <x:c r="B15" s="30" t="str">
        <x:v>Tezcatlipoca</x:v>
      </x:c>
      <x:c r="C15" s="30" t="n">
        <x:v>1</x:v>
      </x:c>
      <x:c r="D15" s="30" t="str">
        <x:v>Storehouse / Market Storage</x:v>
      </x:c>
      <x:c r="E15" s="30" t="str">
        <x:v>Build market-control leverage by increasing hoarding and timed release capacity.</x:v>
      </x:c>
      <x:c r="F15" s="30" t="str">
        <x:v>Wood, Tools</x:v>
      </x:c>
      <x:c r="G15" s="30" t="str">
        <x:v>Wood, Tools</x:v>
      </x:c>
      <x:c r="H15" s="30" t="str">
        <x:v>Tools, Cloth, Cacao</x:v>
      </x:c>
      <x:c r="I15" s="30" t="str">
        <x:v>Wood/Cotton if not needed</x:v>
      </x:c>
      <x:c r="J15" s="30" t="str">
        <x:v>Larger reserve capacity</x:v>
      </x:c>
      <x:c r="K15" s="30" t="str">
        <x:v>Raises wood/tools demand; enables future hoarding and price timing.</x:v>
      </x:c>
      <x:c r="L15" s="30" t="str">
        <x:v>Opportunistic</x:v>
      </x:c>
      <x:c r="M15" s="30" t="str">
        <x:v>25% normally; 60% when cheap</x:v>
      </x:c>
      <x:c r="N15" s="30" t="str">
        <x:v>Hidden Cache / Market Ledger</x:v>
      </x:c>
      <x:c r="O15" s="30" t="str">
        <x:v>Creates small reserve capacity and market intelligence if full storage is delayed.</x:v>
      </x:c>
    </x:row>
    <x:row r="16">
      <x:c r="A16" s="30" t="str">
        <x:v>Cunning Rival</x:v>
      </x:c>
      <x:c r="B16" s="30" t="str">
        <x:v>Tezcatlipoca</x:v>
      </x:c>
      <x:c r="C16" s="30" t="n">
        <x:v>2</x:v>
      </x:c>
      <x:c r="D16" s="30" t="str">
        <x:v>Advanced Tool Workshop</x:v>
      </x:c>
      <x:c r="E16" s="30" t="str">
        <x:v>Control tools as a hinge good used by many production chains.</x:v>
      </x:c>
      <x:c r="F16" s="30" t="str">
        <x:v>Wood, Cloth</x:v>
      </x:c>
      <x:c r="G16" s="30" t="str">
        <x:v>Wood, Cloth, Tools if cheap</x:v>
      </x:c>
      <x:c r="H16" s="30" t="str">
        <x:v>Tools, Cacao</x:v>
      </x:c>
      <x:c r="I16" s="30" t="str">
        <x:v>Tools only when high-value true surplus</x:v>
      </x:c>
      <x:c r="J16" s="30" t="str">
        <x:v>Higher tool output</x:v>
      </x:c>
      <x:c r="K16" s="30" t="str">
        <x:v>Can ease tools later while consuming wood/cloth; keeps tool prices strategically important.</x:v>
      </x:c>
      <x:c r="L16" s="30" t="str">
        <x:v>Opportunistic</x:v>
      </x:c>
      <x:c r="M16" s="30" t="str">
        <x:v>25% normally; 60% when cheap</x:v>
      </x:c>
      <x:c r="N16" s="30" t="str">
        <x:v>Tool Repair Bench</x:v>
      </x:c>
      <x:c r="O16" s="30" t="str">
        <x:v>Adds minor tool support or reserve without full workshop output.</x:v>
      </x:c>
    </x:row>
    <x:row r="17">
      <x:c r="A17" s="30" t="str">
        <x:v>Cunning Rival</x:v>
      </x:c>
      <x:c r="B17" s="30" t="str">
        <x:v>Tezcatlipoca</x:v>
      </x:c>
      <x:c r="C17" s="30" t="n">
        <x:v>3</x:v>
      </x:c>
      <x:c r="D17" s="30" t="str">
        <x:v>Cloth Workshop</x:v>
      </x:c>
      <x:c r="E17" s="30" t="str">
        <x:v>Control cloth as broad upkeep, construction and market-pressure leverage.</x:v>
      </x:c>
      <x:c r="F17" s="30" t="str">
        <x:v>Wood, Tools, Cotton</x:v>
      </x:c>
      <x:c r="G17" s="30" t="str">
        <x:v>Cotton, Wood, Tools</x:v>
      </x:c>
      <x:c r="H17" s="30" t="str">
        <x:v>Cloth, Tools, Cacao</x:v>
      </x:c>
      <x:c r="I17" s="30" t="str">
        <x:v>Cloth when profitable and protected</x:v>
      </x:c>
      <x:c r="J17" s="30" t="str">
        <x:v>Cloth output</x:v>
      </x:c>
      <x:c r="K17" s="30" t="str">
        <x:v>Raises cotton/wood/tool demand; later eases cloth when released.</x:v>
      </x:c>
      <x:c r="L17" s="30" t="str">
        <x:v>Opportunistic</x:v>
      </x:c>
      <x:c r="M17" s="30" t="str">
        <x:v>25% normally; 60% when cheap</x:v>
      </x:c>
      <x:c r="N17" s="30" t="str">
        <x:v>Dyers / Weaving Cache</x:v>
      </x:c>
      <x:c r="O17" s="30" t="str">
        <x:v>Stores cotton/cloth and prepares conversion capacity without full workshop.</x:v>
      </x:c>
    </x:row>
    <x:row r="18">
      <x:c r="A18" s="30" t="str">
        <x:v>Cunning Rival</x:v>
      </x:c>
      <x:c r="B18" s="30" t="str">
        <x:v>Tezcatlipoca</x:v>
      </x:c>
      <x:c r="C18" s="30" t="n">
        <x:v>4</x:v>
      </x:c>
      <x:c r="D18" s="30" t="str">
        <x:v>Cacao Garden / Cacao Access</x:v>
      </x:c>
      <x:c r="E18" s="30" t="str">
        <x:v>Build influence, barter flexibility and future leverage.</x:v>
      </x:c>
      <x:c r="F18" s="30" t="str">
        <x:v>Wood, Tools</x:v>
      </x:c>
      <x:c r="G18" s="30" t="str">
        <x:v>Wood, Tools, Cacao if low</x:v>
      </x:c>
      <x:c r="H18" s="30" t="str">
        <x:v>Cacao</x:v>
      </x:c>
      <x:c r="I18" s="30" t="str">
        <x:v>Cacao only if very high surplus</x:v>
      </x:c>
      <x:c r="J18" s="30" t="str">
        <x:v>More cacao access</x:v>
      </x:c>
      <x:c r="K18" s="30" t="str">
        <x:v>Keeps cacao contested.</x:v>
      </x:c>
      <x:c r="L18" s="30" t="str">
        <x:v>Steady</x:v>
      </x:c>
      <x:c r="M18" s="30" t="str">
        <x:v>40% of missing goods / turn</x:v>
      </x:c>
      <x:c r="N18" s="30" t="str">
        <x:v>Cacao Store / Broker Contact</x:v>
      </x:c>
      <x:c r="O18" s="30" t="str">
        <x:v>Hoard or secure cacao without mature production.</x:v>
      </x:c>
    </x:row>
    <x:row r="19">
      <x:c r="A19" s="30" t="str">
        <x:v>Diplomatic Rival</x:v>
      </x:c>
      <x:c r="B19" s="30" t="str">
        <x:v>Quetzalcoatl</x:v>
      </x:c>
      <x:c r="C19" s="30" t="n">
        <x:v>1</x:v>
      </x:c>
      <x:c r="D19" s="30" t="str">
        <x:v>Fine Textile House</x:v>
      </x:c>
      <x:c r="E19" s="30" t="str">
        <x:v>Consolidate palace-facing tribute and recognition goods before expanding noble capacity.</x:v>
      </x:c>
      <x:c r="F19" s="30" t="str">
        <x:v>Wood, Cotton, Tools, Cacao</x:v>
      </x:c>
      <x:c r="G19" s="30" t="str">
        <x:v>Cotton, Tools, Cacao, Wood</x:v>
      </x:c>
      <x:c r="H19" s="30" t="str">
        <x:v>Fine Textiles, Cacao</x:v>
      </x:c>
      <x:c r="I19" s="30" t="str">
        <x:v>Fine Textiles rarely; Cacao rarely</x:v>
      </x:c>
      <x:c r="J19" s="30" t="str">
        <x:v>Fine textile output</x:v>
      </x:c>
      <x:c r="K19" s="30" t="str">
        <x:v>Raises cotton/tools/cacao demand; later eases fine textiles for palace competition.</x:v>
      </x:c>
      <x:c r="L19" s="30" t="str">
        <x:v>Steady</x:v>
      </x:c>
      <x:c r="M19" s="30" t="str">
        <x:v>40% of missing goods / turn</x:v>
      </x:c>
      <x:c r="N19" s="30" t="str">
        <x:v>Textile Preparation House</x:v>
      </x:c>
      <x:c r="O19" s="30" t="str">
        <x:v>Partial textile preparation and material reserve if the full building is not affordable.</x:v>
      </x:c>
    </x:row>
    <x:row r="20">
      <x:c r="A20" s="30" t="str">
        <x:v>Diplomatic Rival</x:v>
      </x:c>
      <x:c r="B20" s="30" t="str">
        <x:v>Quetzalcoatl</x:v>
      </x:c>
      <x:c r="C20" s="30" t="n">
        <x:v>2</x:v>
      </x:c>
      <x:c r="D20" s="30" t="str">
        <x:v>Noble Residence</x:v>
      </x:c>
      <x:c r="E20" s="30" t="str">
        <x:v>Support Pipiltin and palace/status actions once fine goods are being secured.</x:v>
      </x:c>
      <x:c r="F20" s="30" t="str">
        <x:v>Wood, Cloth, Cacao, Fine Textiles</x:v>
      </x:c>
      <x:c r="G20" s="30" t="str">
        <x:v>Cacao, Fine Textiles, Cloth, Tools, Wood</x:v>
      </x:c>
      <x:c r="H20" s="30" t="str">
        <x:v>Cacao, Fine Textiles</x:v>
      </x:c>
      <x:c r="I20" s="30" t="str">
        <x:v>Maize if above buffer; cloth after protected</x:v>
      </x:c>
      <x:c r="J20" s="30" t="str">
        <x:v>More noble/status capacity</x:v>
      </x:c>
      <x:c r="K20" s="30" t="str">
        <x:v>Raises cacao/fine textiles/cloth demand.</x:v>
      </x:c>
      <x:c r="L20" s="30" t="str">
        <x:v>Steady</x:v>
      </x:c>
      <x:c r="M20" s="30" t="str">
        <x:v>40% of missing goods / turn</x:v>
      </x:c>
      <x:c r="N20" s="30" t="str">
        <x:v>Noble Guest House / Reception Hall</x:v>
      </x:c>
      <x:c r="O20" s="30" t="str">
        <x:v>Cheap enabling step for court presence before full residence expansion.</x:v>
      </x:c>
    </x:row>
    <x:row r="21">
      <x:c r="A21" s="30" t="str">
        <x:v>Diplomatic Rival</x:v>
      </x:c>
      <x:c r="B21" s="30" t="str">
        <x:v>Quetzalcoatl</x:v>
      </x:c>
      <x:c r="C21" s="30" t="n">
        <x:v>3</x:v>
      </x:c>
      <x:c r="D21" s="30" t="str">
        <x:v>Cacao Garden / Cacao Expansion</x:v>
      </x:c>
      <x:c r="E21" s="30" t="str">
        <x:v>Support nobles, diplomacy, barter and legitimacy.</x:v>
      </x:c>
      <x:c r="F21" s="30" t="str">
        <x:v>Wood, Tools</x:v>
      </x:c>
      <x:c r="G21" s="30" t="str">
        <x:v>Wood, Tools, Cacao</x:v>
      </x:c>
      <x:c r="H21" s="30" t="str">
        <x:v>Cacao</x:v>
      </x:c>
      <x:c r="I21" s="30" t="str">
        <x:v>Cacao only if very high surplus</x:v>
      </x:c>
      <x:c r="J21" s="30" t="str">
        <x:v>More cacao output</x:v>
      </x:c>
      <x:c r="K21" s="30" t="str">
        <x:v>Keeps cacao central to court competition.</x:v>
      </x:c>
      <x:c r="L21" s="30" t="str">
        <x:v>Steady</x:v>
      </x:c>
      <x:c r="M21" s="30" t="str">
        <x:v>40% of missing goods / turn</x:v>
      </x:c>
      <x:c r="N21" s="30" t="str">
        <x:v>Cacao Grove Preparation</x:v>
      </x:c>
      <x:c r="O21" s="30" t="str">
        <x:v>Secures land/materials for later cacao expansion.</x:v>
      </x:c>
    </x:row>
    <x:row r="22">
      <x:c r="A22" s="30" t="str">
        <x:v>Diplomatic Rival</x:v>
      </x:c>
      <x:c r="B22" s="30" t="str">
        <x:v>Quetzalcoatl</x:v>
      </x:c>
      <x:c r="C22" s="30" t="n">
        <x:v>4</x:v>
      </x:c>
      <x:c r="D22" s="30" t="str">
        <x:v>Quetzalcoatl Shrine Support</x:v>
      </x:c>
      <x:c r="E22" s="30" t="str">
        <x:v>Convert legitimacy and offerings into divine/political standing.</x:v>
      </x:c>
      <x:c r="F22" s="30" t="str">
        <x:v>Wood, Ritual Goods, Cacao</x:v>
      </x:c>
      <x:c r="G22" s="30" t="str">
        <x:v>Ritual Goods, Cacao, Wood</x:v>
      </x:c>
      <x:c r="H22" s="30" t="str">
        <x:v>Fine Textiles, Cacao</x:v>
      </x:c>
      <x:c r="I22" s="30" t="str">
        <x:v>Minor surplus goods only</x:v>
      </x:c>
      <x:c r="J22" s="30" t="str">
        <x:v>Legitimacy/offering support</x:v>
      </x:c>
      <x:c r="K22" s="30" t="str">
        <x:v>Adds ritual/cacao demand if palace base is secure.</x:v>
      </x:c>
      <x:c r="L22" s="30" t="str">
        <x:v>Steady</x:v>
      </x:c>
      <x:c r="M22" s="30" t="str">
        <x:v>40% of missing goods / turn</x:v>
      </x:c>
      <x:c r="N22" s="30" t="str">
        <x:v>Legitimacy Offering Cache</x:v>
      </x:c>
      <x:c r="O22" s="30" t="str">
        <x:v>Stores ritual goods/cacao for a later Quetzalcoatl push.</x:v>
      </x:c>
    </x:row>
    <x:row r="23">
      <x:c r="A23" s="30" t="str"/>
      <x:c r="B23" s="30" t="str"/>
      <x:c r="C23" s="30" t="str"/>
      <x:c r="D23" s="30" t="str"/>
      <x:c r="E23" s="30" t="str"/>
      <x:c r="F23" s="30" t="str"/>
      <x:c r="G23" s="30" t="str"/>
      <x:c r="H23" s="30" t="str"/>
      <x:c r="I23" s="30" t="str"/>
      <x:c r="J23" s="30" t="str"/>
      <x:c r="K23" s="30" t="str"/>
      <x:c r="L23" s="30" t="str"/>
      <x:c r="M23" s="30" t="str"/>
      <x:c r="N23" s="30" t="str"/>
      <x:c r="O23" s="30" t="str"/>
    </x:row>
    <x:row r="24">
      <x:c r="A24" s="30" t="str">
        <x:v>Rival</x:v>
      </x:c>
      <x:c r="B24" s="30" t="str">
        <x:v>Patron God</x:v>
      </x:c>
      <x:c r="C24" s="30" t="str">
        <x:v>Year 1 Objective</x:v>
      </x:c>
      <x:c r="D24" s="30" t="str">
        <x:v>First Build</x:v>
      </x:c>
      <x:c r="E24" s="30" t="str">
        <x:v>Procurement Style</x:v>
      </x:c>
      <x:c r="F24" s="30" t="str">
        <x:v>Primary Buys</x:v>
      </x:c>
      <x:c r="G24" s="30" t="str">
        <x:v>Primary Hoards</x:v>
      </x:c>
      <x:c r="H24" s="30" t="str">
        <x:v>Primary Market Effect</x:v>
      </x:c>
      <x:c r="I24" s="30" t="str">
        <x:v>Minor Support Logic</x:v>
      </x:c>
      <x:c r="J24" s="30" t="str"/>
      <x:c r="K24" s="30" t="str"/>
      <x:c r="L24" s="30" t="str"/>
      <x:c r="M24" s="30" t="str"/>
      <x:c r="N24" s="30" t="str"/>
      <x:c r="O24" s="30" t="str"/>
    </x:row>
    <x:row r="25">
      <x:c r="A25" s="146" t="str">
        <x:v>War Rival</x:v>
      </x:c>
      <x:c r="B25" s="146" t="str">
        <x:v>Huitzilopochtli</x:v>
      </x:c>
      <x:c r="C25" s="146" t="str">
        <x:v>Consolidate a war economy capable of early Flower Wars.</x:v>
      </x:c>
      <x:c r="D25" s="146" t="str">
        <x:v>Weapon Yard</x:v>
      </x:c>
      <x:c r="E25" s="146" t="str">
        <x:v>Aggressive</x:v>
      </x:c>
      <x:c r="F25" s="146" t="str">
        <x:v>Tools, Cloth, Wood, Maize</x:v>
      </x:c>
      <x:c r="G25" s="146" t="str">
        <x:v>Obsidian, Weapons, Captives</x:v>
      </x:c>
      <x:c r="H25" s="146" t="str">
        <x:v>Tightens tools/cloth/wood early; later may ease weapons.</x:v>
      </x:c>
      <x:c r="I25" s="146" t="str">
        <x:v>Build armoury/war preparation if the full Weapon Yard is blocked.</x:v>
      </x:c>
      <x:c r="J25" s="30" t="str"/>
      <x:c r="K25" s="30" t="str"/>
      <x:c r="L25" s="30" t="str"/>
      <x:c r="M25" s="30" t="str"/>
      <x:c r="N25" s="30" t="str"/>
      <x:c r="O25" s="30" t="str"/>
    </x:row>
    <x:row r="26">
      <x:c r="A26" s="30" t="str">
        <x:v>Cunning Rival</x:v>
      </x:c>
      <x:c r="B26" s="30" t="str">
        <x:v>Tezcatlipoca</x:v>
      </x:c>
      <x:c r="C26" s="30" t="str">
        <x:v>Build leverage over hinge goods, storage and market timing.</x:v>
      </x:c>
      <x:c r="D26" s="30" t="str">
        <x:v>Storehouse / Market Storage</x:v>
      </x:c>
      <x:c r="E26" s="30" t="str">
        <x:v>Opportunistic</x:v>
      </x:c>
      <x:c r="F26" s="30" t="str">
        <x:v>Wood, Cotton, Cacao, Tools</x:v>
      </x:c>
      <x:c r="G26" s="30" t="str">
        <x:v>Tools, Cloth, Cacao</x:v>
      </x:c>
      <x:c r="H26" s="30" t="str">
        <x:v>Manipulates tools/cloth and increases wood/cotton/cacao demand.</x:v>
      </x:c>
      <x:c r="I26" s="30" t="str">
        <x:v>Build hidden caches or repair benches if full storage/workshop target is blocked.</x:v>
      </x:c>
      <x:c r="J26" s="30" t="str"/>
      <x:c r="K26" s="30" t="str"/>
      <x:c r="L26" s="30" t="str"/>
      <x:c r="M26" s="30" t="str"/>
      <x:c r="N26" s="30" t="str"/>
      <x:c r="O26" s="30" t="str"/>
    </x:row>
    <x:row r="27">
      <x:c r="A27" s="30" t="str">
        <x:v>Diplomatic Rival</x:v>
      </x:c>
      <x:c r="B27" s="30" t="str">
        <x:v>Quetzalcoatl</x:v>
      </x:c>
      <x:c r="C27" s="30" t="str">
        <x:v>Consolidate palace-facing status and tribute production.</x:v>
      </x:c>
      <x:c r="D27" s="30" t="str">
        <x:v>Fine Textile House</x:v>
      </x:c>
      <x:c r="E27" s="30" t="str">
        <x:v>Steady</x:v>
      </x:c>
      <x:c r="F27" s="30" t="str">
        <x:v>Cacao, Cloth, Tools, Wood, Cotton</x:v>
      </x:c>
      <x:c r="G27" s="30" t="str">
        <x:v>Fine Textiles, Cacao</x:v>
      </x:c>
      <x:c r="H27" s="30" t="str">
        <x:v>Tightens cacao/fine textiles/cloth; later competes for recognition.</x:v>
      </x:c>
      <x:c r="I27" s="30" t="str">
        <x:v>Build textile preparation or guest/reception support if the full status building is blocked.</x:v>
      </x:c>
      <x:c r="J27" s="30" t="str"/>
      <x:c r="K27" s="30" t="str"/>
      <x:c r="L27" s="30" t="str"/>
      <x:c r="M27" s="30" t="str"/>
      <x:c r="N27" s="30" t="str"/>
      <x:c r="O27" s="30" t="str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8" hidden="0" customWidth="1"/>
    <x:col min="4" max="4" width="28" hidden="0" customWidth="1"/>
    <x:col min="5" max="5" width="30" hidden="0" customWidth="1"/>
    <x:col min="6" max="6" width="26" hidden="0" customWidth="1"/>
    <x:col min="7" max="7" width="26" hidden="0" customWidth="1"/>
    <x:col min="8" max="8" width="36" hidden="0" customWidth="1"/>
  </x:cols>
  <x:sheetData>
    <x:row r="1">
      <x:c r="A1" s="151" t="str">
        <x:v>Prototype 0 Rival Procurement + Support Step Summary — v0.12</x:v>
      </x:c>
      <x:c r="B1" s="151" t="str"/>
      <x:c r="C1" s="151" t="str"/>
      <x:c r="D1" s="151" t="str"/>
      <x:c r="E1" s="151" t="str"/>
      <x:c r="F1" s="151" t="str"/>
      <x:c r="G1" s="151" t="str"/>
      <x:c r="H1" s="151" t="str"/>
    </x:row>
    <x:row r="2">
      <x:c r="A2" s="30" t="str">
        <x:v>Use this readable sheet for design review. Full implementation details are on Rival Build Orders v12.</x:v>
      </x:c>
      <x:c r="B2" s="30" t="str"/>
      <x:c r="C2" s="30" t="str"/>
      <x:c r="D2" s="30" t="str"/>
      <x:c r="E2" s="30" t="str"/>
      <x:c r="F2" s="30" t="str"/>
      <x:c r="G2" s="30" t="str"/>
      <x:c r="H2" s="30" t="str"/>
    </x:row>
    <x:row r="3">
      <x:c r="A3" s="30"/>
      <x:c r="B3" s="30"/>
      <x:c r="C3" s="30"/>
      <x:c r="D3" s="30"/>
      <x:c r="E3" s="30"/>
      <x:c r="F3" s="30"/>
      <x:c r="G3" s="30"/>
      <x:c r="H3" s="30"/>
    </x:row>
    <x:row r="4">
      <x:c r="A4" s="152" t="str">
        <x:v>Rival</x:v>
      </x:c>
      <x:c r="B4" s="152" t="str">
        <x:v>Patron</x:v>
      </x:c>
      <x:c r="C4" s="152" t="str">
        <x:v>Procurement style</x:v>
      </x:c>
      <x:c r="D4" s="152" t="str">
        <x:v>First build</x:v>
      </x:c>
      <x:c r="E4" s="152" t="str">
        <x:v>If blocked</x:v>
      </x:c>
      <x:c r="F4" s="152" t="str">
        <x:v>Core buys</x:v>
      </x:c>
      <x:c r="G4" s="152" t="str">
        <x:v>Core hoards</x:v>
      </x:c>
      <x:c r="H4" s="152" t="str">
        <x:v>Design role</x:v>
      </x:c>
    </x:row>
    <x:row r="5">
      <x:c r="A5" s="30" t="str">
        <x:v>War Rival</x:v>
      </x:c>
      <x:c r="B5" s="30" t="str">
        <x:v>Huitzilopochtli</x:v>
      </x:c>
      <x:c r="C5" s="30" t="str">
        <x:v>Aggressive: up to 60% missing war-chain goods</x:v>
      </x:c>
      <x:c r="D5" s="30" t="str">
        <x:v>Weapon Yard</x:v>
      </x:c>
      <x:c r="E5" s="30" t="str">
        <x:v>Armoury Stockpile / Weapon Yard Preparation</x:v>
      </x:c>
      <x:c r="F5" s="30" t="str">
        <x:v>Tools, Cloth, Wood, Maize</x:v>
      </x:c>
      <x:c r="G5" s="30" t="str">
        <x:v>Obsidian, Weapons, Captives</x:v>
      </x:c>
      <x:c r="H5" s="30" t="str">
        <x:v>Early Flower Wars and martial pressure</x:v>
      </x:c>
    </x:row>
    <x:row r="6">
      <x:c r="A6" s="30" t="str">
        <x:v>Cunning Rival</x:v>
      </x:c>
      <x:c r="B6" s="30" t="str">
        <x:v>Tezcatlipoca</x:v>
      </x:c>
      <x:c r="C6" s="30" t="str">
        <x:v>Opportunistic: 25% normally, 60% when favourable</x:v>
      </x:c>
      <x:c r="D6" s="30" t="str">
        <x:v>Storehouse / Market Storage</x:v>
      </x:c>
      <x:c r="E6" s="30" t="str">
        <x:v>Hidden Cache / Market Ledger</x:v>
      </x:c>
      <x:c r="F6" s="30" t="str">
        <x:v>Wood, Cotton, Cacao, Tools</x:v>
      </x:c>
      <x:c r="G6" s="30" t="str">
        <x:v>Tools, Cloth, Cacao</x:v>
      </x:c>
      <x:c r="H6" s="30" t="str">
        <x:v>Market-control, hoarding, timed selling, future sabotage leverage</x:v>
      </x:c>
    </x:row>
    <x:row r="7">
      <x:c r="A7" s="30" t="str">
        <x:v>Diplomatic Rival</x:v>
      </x:c>
      <x:c r="B7" s="30" t="str">
        <x:v>Quetzalcoatl</x:v>
      </x:c>
      <x:c r="C7" s="30" t="str">
        <x:v>Steady: up to 40% missing build goods</x:v>
      </x:c>
      <x:c r="D7" s="30" t="str">
        <x:v>Fine Textile House</x:v>
      </x:c>
      <x:c r="E7" s="30" t="str">
        <x:v>Textile Preparation House</x:v>
      </x:c>
      <x:c r="F7" s="30" t="str">
        <x:v>Cacao, Cloth, Tools, Wood, Cotton</x:v>
      </x:c>
      <x:c r="G7" s="30" t="str">
        <x:v>Fine Textiles, Cacao</x:v>
      </x:c>
      <x:c r="H7" s="30" t="str">
        <x:v>Palace-facing recognition, status goods and legitimacy</x:v>
      </x:c>
    </x:row>
    <x:row r="8">
      <x:c r="A8" s="30"/>
      <x:c r="B8" s="30"/>
      <x:c r="C8" s="30"/>
      <x:c r="D8" s="30"/>
      <x:c r="E8" s="30"/>
      <x:c r="F8" s="30"/>
      <x:c r="G8" s="30"/>
      <x:c r="H8" s="30"/>
    </x:row>
    <x:row r="9">
      <x:c r="A9" s="30"/>
      <x:c r="B9" s="30"/>
      <x:c r="C9" s="30"/>
      <x:c r="D9" s="30"/>
      <x:c r="E9" s="30"/>
      <x:c r="F9" s="30"/>
      <x:c r="G9" s="30"/>
      <x:c r="H9" s="30"/>
    </x:row>
    <x:row r="10">
      <x:c r="A10" s="152" t="str">
        <x:v>War Rival Build Order</x:v>
      </x:c>
      <x:c r="B10" s="152" t="str">
        <x:v>Target</x:v>
      </x:c>
      <x:c r="C10" s="152" t="str">
        <x:v>Procurement</x:v>
      </x:c>
      <x:c r="D10" s="152" t="str">
        <x:v>Minor support step</x:v>
      </x:c>
      <x:c r="E10" s="152" t="str">
        <x:v>Unlocked effect</x:v>
      </x:c>
      <x:c r="F10" s="30"/>
      <x:c r="G10" s="30"/>
      <x:c r="H10" s="30"/>
    </x:row>
    <x:row r="11">
      <x:c r="A11" s="30" t="str">
        <x:v>1</x:v>
      </x:c>
      <x:c r="B11" s="30" t="str">
        <x:v>Weapon Yard</x:v>
      </x:c>
      <x:c r="C11" s="30" t="str">
        <x:v>Aggressive 60%</x:v>
      </x:c>
      <x:c r="D11" s="30" t="str">
        <x:v>Armoury Stockpile / Weapon Yard Preparation</x:v>
      </x:c>
      <x:c r="E11" s="30" t="str">
        <x:v>Weapons production</x:v>
      </x:c>
      <x:c r="F11" s="30"/>
      <x:c r="G11" s="30"/>
      <x:c r="H11" s="30"/>
    </x:row>
    <x:row r="12">
      <x:c r="A12" s="30" t="str">
        <x:v>2</x:v>
      </x:c>
      <x:c r="B12" s="30" t="str">
        <x:v>Warrior House</x:v>
      </x:c>
      <x:c r="C12" s="30" t="str">
        <x:v>Aggressive 60%</x:v>
      </x:c>
      <x:c r="D12" s="30" t="str">
        <x:v>Warrior Muster / Temporary War Camp</x:v>
      </x:c>
      <x:c r="E12" s="30" t="str">
        <x:v>More warrior capacity</x:v>
      </x:c>
      <x:c r="F12" s="30"/>
      <x:c r="G12" s="30"/>
      <x:c r="H12" s="30"/>
    </x:row>
    <x:row r="13">
      <x:c r="A13" s="30" t="str">
        <x:v>3</x:v>
      </x:c>
      <x:c r="B13" s="30" t="str">
        <x:v>Captive Holding Pen</x:v>
      </x:c>
      <x:c r="C13" s="30" t="str">
        <x:v>Steady 40%</x:v>
      </x:c>
      <x:c r="D13" s="30" t="str">
        <x:v>Guarded Holding Area</x:v>
      </x:c>
      <x:c r="E13" s="30" t="str">
        <x:v>Captive holding capacity</x:v>
      </x:c>
      <x:c r="F13" s="30"/>
      <x:c r="G13" s="30"/>
      <x:c r="H13" s="30"/>
    </x:row>
    <x:row r="14">
      <x:c r="A14" s="30" t="str">
        <x:v>4</x:v>
      </x:c>
      <x:c r="B14" s="30" t="str">
        <x:v>Huitzilopochtli Shrine Support</x:v>
      </x:c>
      <x:c r="C14" s="30" t="str">
        <x:v>Steady 40%</x:v>
      </x:c>
      <x:c r="D14" s="30" t="str">
        <x:v>War Offering Cache</x:v>
      </x:c>
      <x:c r="E14" s="30" t="str">
        <x:v>War offering support</x:v>
      </x:c>
      <x:c r="F14" s="30"/>
      <x:c r="G14" s="30"/>
      <x:c r="H14" s="30"/>
    </x:row>
    <x:row r="15">
      <x:c r="A15" s="30"/>
      <x:c r="B15" s="30"/>
      <x:c r="C15" s="30"/>
      <x:c r="D15" s="30"/>
      <x:c r="E15" s="30"/>
      <x:c r="F15" s="30"/>
      <x:c r="G15" s="30"/>
      <x:c r="H15" s="30"/>
    </x:row>
    <x:row r="16">
      <x:c r="A16" s="30"/>
      <x:c r="B16" s="30"/>
      <x:c r="C16" s="30"/>
      <x:c r="D16" s="30"/>
      <x:c r="E16" s="30"/>
      <x:c r="F16" s="30"/>
      <x:c r="G16" s="30"/>
      <x:c r="H16" s="30"/>
    </x:row>
    <x:row r="17">
      <x:c r="A17" s="152" t="str">
        <x:v>Cunning Rival Build Order</x:v>
      </x:c>
      <x:c r="B17" s="152" t="str">
        <x:v>Target</x:v>
      </x:c>
      <x:c r="C17" s="152" t="str">
        <x:v>Procurement</x:v>
      </x:c>
      <x:c r="D17" s="152" t="str">
        <x:v>Minor support step</x:v>
      </x:c>
      <x:c r="E17" s="152" t="str">
        <x:v>Unlocked effect</x:v>
      </x:c>
      <x:c r="F17" s="30"/>
      <x:c r="G17" s="30"/>
      <x:c r="H17" s="30"/>
    </x:row>
    <x:row r="18">
      <x:c r="A18" s="30" t="str">
        <x:v>1</x:v>
      </x:c>
      <x:c r="B18" s="30" t="str">
        <x:v>Storehouse / Market Storage</x:v>
      </x:c>
      <x:c r="C18" s="30" t="str">
        <x:v>Opportunistic</x:v>
      </x:c>
      <x:c r="D18" s="30" t="str">
        <x:v>Hidden Cache / Market Ledger</x:v>
      </x:c>
      <x:c r="E18" s="30" t="str">
        <x:v>Larger reserve capacity</x:v>
      </x:c>
      <x:c r="F18" s="30"/>
      <x:c r="G18" s="30"/>
      <x:c r="H18" s="30"/>
    </x:row>
    <x:row r="19">
      <x:c r="A19" s="30" t="str">
        <x:v>2</x:v>
      </x:c>
      <x:c r="B19" s="30" t="str">
        <x:v>Advanced Tool Workshop</x:v>
      </x:c>
      <x:c r="C19" s="30" t="str">
        <x:v>Opportunistic</x:v>
      </x:c>
      <x:c r="D19" s="30" t="str">
        <x:v>Tool Repair Bench</x:v>
      </x:c>
      <x:c r="E19" s="30" t="str">
        <x:v>Higher tool output</x:v>
      </x:c>
      <x:c r="F19" s="30"/>
      <x:c r="G19" s="30"/>
      <x:c r="H19" s="30"/>
    </x:row>
    <x:row r="20">
      <x:c r="A20" s="30" t="str">
        <x:v>3</x:v>
      </x:c>
      <x:c r="B20" s="30" t="str">
        <x:v>Cloth Workshop</x:v>
      </x:c>
      <x:c r="C20" s="30" t="str">
        <x:v>Opportunistic</x:v>
      </x:c>
      <x:c r="D20" s="30" t="str">
        <x:v>Dyers / Weaving Cache</x:v>
      </x:c>
      <x:c r="E20" s="30" t="str">
        <x:v>Cloth output</x:v>
      </x:c>
      <x:c r="F20" s="30"/>
      <x:c r="G20" s="30"/>
      <x:c r="H20" s="30"/>
    </x:row>
    <x:row r="21">
      <x:c r="A21" s="30" t="str">
        <x:v>4</x:v>
      </x:c>
      <x:c r="B21" s="30" t="str">
        <x:v>Cacao Garden / Cacao Access</x:v>
      </x:c>
      <x:c r="C21" s="30" t="str">
        <x:v>Steady 40%</x:v>
      </x:c>
      <x:c r="D21" s="30" t="str">
        <x:v>Cacao Store / Broker Contact</x:v>
      </x:c>
      <x:c r="E21" s="30" t="str">
        <x:v>More cacao access</x:v>
      </x:c>
      <x:c r="F21" s="30"/>
      <x:c r="G21" s="30"/>
      <x:c r="H21" s="30"/>
    </x:row>
    <x:row r="22">
      <x:c r="A22" s="30"/>
      <x:c r="B22" s="30"/>
      <x:c r="C22" s="30"/>
      <x:c r="D22" s="30"/>
      <x:c r="E22" s="30"/>
      <x:c r="F22" s="30"/>
      <x:c r="G22" s="30"/>
      <x:c r="H22" s="30"/>
    </x:row>
    <x:row r="23">
      <x:c r="A23" s="30"/>
      <x:c r="B23" s="30"/>
      <x:c r="C23" s="30"/>
      <x:c r="D23" s="30"/>
      <x:c r="E23" s="30"/>
      <x:c r="F23" s="30"/>
      <x:c r="G23" s="30"/>
      <x:c r="H23" s="30"/>
    </x:row>
    <x:row r="24">
      <x:c r="A24" s="152" t="str">
        <x:v>Diplomatic Rival Build Order</x:v>
      </x:c>
      <x:c r="B24" s="152" t="str">
        <x:v>Target</x:v>
      </x:c>
      <x:c r="C24" s="152" t="str">
        <x:v>Procurement</x:v>
      </x:c>
      <x:c r="D24" s="152" t="str">
        <x:v>Minor support step</x:v>
      </x:c>
      <x:c r="E24" s="152" t="str">
        <x:v>Unlocked effect</x:v>
      </x:c>
      <x:c r="F24" s="30"/>
      <x:c r="G24" s="30"/>
      <x:c r="H24" s="30"/>
    </x:row>
    <x:row r="25">
      <x:c r="A25" s="30" t="str">
        <x:v>1</x:v>
      </x:c>
      <x:c r="B25" s="30" t="str">
        <x:v>Fine Textile House</x:v>
      </x:c>
      <x:c r="C25" s="30" t="str">
        <x:v>Steady 40%</x:v>
      </x:c>
      <x:c r="D25" s="30" t="str">
        <x:v>Textile Preparation House</x:v>
      </x:c>
      <x:c r="E25" s="30" t="str">
        <x:v>Fine textile output</x:v>
      </x:c>
      <x:c r="F25" s="30"/>
      <x:c r="G25" s="30"/>
      <x:c r="H25" s="30"/>
    </x:row>
    <x:row r="26">
      <x:c r="A26" s="30" t="str">
        <x:v>2</x:v>
      </x:c>
      <x:c r="B26" s="30" t="str">
        <x:v>Noble Residence</x:v>
      </x:c>
      <x:c r="C26" s="30" t="str">
        <x:v>Steady 40%</x:v>
      </x:c>
      <x:c r="D26" s="30" t="str">
        <x:v>Noble Guest House / Reception Hall</x:v>
      </x:c>
      <x:c r="E26" s="30" t="str">
        <x:v>More noble/status capacity</x:v>
      </x:c>
      <x:c r="F26" s="30"/>
      <x:c r="G26" s="30"/>
      <x:c r="H26" s="30"/>
    </x:row>
    <x:row r="27">
      <x:c r="A27" s="30" t="str">
        <x:v>3</x:v>
      </x:c>
      <x:c r="B27" s="30" t="str">
        <x:v>Cacao Garden / Cacao Expansion</x:v>
      </x:c>
      <x:c r="C27" s="30" t="str">
        <x:v>Steady 40%</x:v>
      </x:c>
      <x:c r="D27" s="30" t="str">
        <x:v>Cacao Grove Preparation</x:v>
      </x:c>
      <x:c r="E27" s="30" t="str">
        <x:v>More cacao output</x:v>
      </x:c>
      <x:c r="F27" s="30"/>
      <x:c r="G27" s="30"/>
      <x:c r="H27" s="30"/>
    </x:row>
    <x:row r="28">
      <x:c r="A28" s="30" t="str">
        <x:v>4</x:v>
      </x:c>
      <x:c r="B28" s="30" t="str">
        <x:v>Quetzalcoatl Shrine Support</x:v>
      </x:c>
      <x:c r="C28" s="30" t="str">
        <x:v>Steady 40%</x:v>
      </x:c>
      <x:c r="D28" s="30" t="str">
        <x:v>Legitimacy Offering Cache</x:v>
      </x:c>
      <x:c r="E28" s="30" t="str">
        <x:v>Legitimacy/offering support</x:v>
      </x:c>
      <x:c r="F28" s="30"/>
      <x:c r="G28" s="30"/>
      <x:c r="H28" s="30"/>
    </x:row>
    <x:row r="29">
      <x:c r="A29" s="30"/>
      <x:c r="B29" s="30"/>
      <x:c r="C29" s="30"/>
      <x:c r="D29" s="30"/>
      <x:c r="E29" s="30"/>
      <x:c r="F29" s="30"/>
      <x:c r="G29" s="30"/>
      <x:c r="H29" s="30"/>
    </x:row>
    <x:row r="30">
      <x:c r="A30" s="30"/>
      <x:c r="B30" s="30"/>
      <x:c r="C30" s="30"/>
      <x:c r="D30" s="30"/>
      <x:c r="E30" s="30"/>
      <x:c r="F30" s="30"/>
      <x:c r="G30" s="30"/>
      <x:c r="H30" s="30"/>
    </x:row>
    <x:row r="31">
      <x:c r="A31" s="152" t="str">
        <x:v>Rule</x:v>
      </x:c>
      <x:c r="B31" s="152" t="str">
        <x:v>Working definition</x:v>
      </x:c>
      <x:c r="C31" s="30"/>
      <x:c r="D31" s="30"/>
      <x:c r="E31" s="30"/>
      <x:c r="F31" s="30"/>
      <x:c r="G31" s="30"/>
      <x:c r="H31" s="30"/>
    </x:row>
    <x:row r="32">
      <x:c r="A32" s="30" t="str">
        <x:v>True surplus</x:v>
      </x:c>
      <x:c r="B32" s="30" t="str">
        <x:v>Sell only after upkeep, active inputs, build reserve, safety buffer and personality hoards are protected.</x:v>
      </x:c>
      <x:c r="C32" s="30"/>
      <x:c r="D32" s="30"/>
      <x:c r="E32" s="30"/>
      <x:c r="F32" s="30"/>
      <x:c r="G32" s="30"/>
      <x:c r="H32" s="30"/>
    </x:row>
    <x:row r="33">
      <x:c r="A33" s="30" t="str">
        <x:v>Procurement</x:v>
      </x:c>
      <x:c r="B33" s="30" t="str">
        <x:v>Buy missing goods for upkeep first, active inputs second, current build order third.</x:v>
      </x:c>
      <x:c r="C33" s="30"/>
      <x:c r="D33" s="30"/>
      <x:c r="E33" s="30"/>
      <x:c r="F33" s="30"/>
      <x:c r="G33" s="30"/>
      <x:c r="H33" s="30"/>
    </x:row>
    <x:row r="34">
      <x:c r="A34" s="30" t="str">
        <x:v>Minor support step</x:v>
      </x:c>
      <x:c r="B34" s="30" t="str">
        <x:v>If a major target is unaffordable, build a smaller support step if affordable.</x:v>
      </x:c>
      <x:c r="C34" s="30"/>
      <x:c r="D34" s="30"/>
      <x:c r="E34" s="30"/>
      <x:c r="F34" s="30"/>
      <x:c r="G34" s="30"/>
      <x:c r="H34" s="30"/>
    </x:row>
    <x:row r="35">
      <x:c r="A35" s="30" t="str">
        <x:v>Cunning framing</x:v>
      </x:c>
      <x:c r="B35" s="30" t="str">
        <x:v>Tools and cloth are market-control leverage, not an artisan identity.</x:v>
      </x:c>
      <x:c r="C35" s="30"/>
      <x:c r="D35" s="30"/>
      <x:c r="E35" s="30"/>
      <x:c r="F35" s="30"/>
      <x:c r="G35" s="30"/>
      <x:c r="H35" s="30"/>
    </x:row>
  </x:sheetData>
  <x:pageMargins left="0.7" right="0.7" top="0.75" bottom="0.75" header="0.3" footer="0.3"/>
</x:worksheet>
</file>